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基本設定" sheetId="1" state="visible" r:id="rId3"/>
    <sheet name="見積書（無料制作）" sheetId="2" state="visible" r:id="rId4"/>
    <sheet name="見積書（追加オプション）" sheetId="3" state="visible" r:id="rId5"/>
    <sheet name="料金表" sheetId="4" state="visible" r:id="rId6"/>
  </sheets>
  <definedNames>
    <definedName function="false" hidden="false" localSheetId="0" name="_xlnm.Print_Area" vbProcedure="false">基本設定!$B$1:$E$36</definedName>
    <definedName function="false" hidden="false" localSheetId="3" name="_xlnm.Print_Area" vbProcedure="false">料金表!$B$1:$F$17</definedName>
    <definedName function="false" hidden="false" localSheetId="1" name="_xlnm.Print_Area" vbProcedure="false">'見積書（無料制作）'!$B$1:$G$46</definedName>
    <definedName function="false" hidden="false" localSheetId="2" name="_xlnm.Print_Area" vbProcedure="false">'見積書（追加オプション）'!$B$1:$G$43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<sst xmlns="http://schemas.openxmlformats.org/spreadsheetml/2006/main" count="171" uniqueCount="139">
  <si>
    <t xml:space="preserve">基本設定（最初にここを入力してください）</t>
  </si>
  <si>
    <t xml:space="preserve">黄色のセルを入力すると、すべての見積書シートに自動で反映されます。</t>
  </si>
  <si>
    <t xml:space="preserve">■ 発行者情報</t>
  </si>
  <si>
    <t xml:space="preserve">会社名</t>
  </si>
  <si>
    <t xml:space="preserve">【会社名】</t>
  </si>
  <si>
    <t xml:space="preserve">← 例：株式会社〇〇</t>
  </si>
  <si>
    <t xml:space="preserve">住所</t>
  </si>
  <si>
    <r>
      <rPr>
        <sz val="10"/>
        <color rgb="FF0000FF"/>
        <rFont val="WenQuanYi Zen Hei"/>
        <family val="2"/>
      </rPr>
      <t xml:space="preserve">〒</t>
    </r>
    <r>
      <rPr>
        <sz val="10"/>
        <color rgb="FF0000FF"/>
        <rFont val="Meiryo"/>
        <family val="0"/>
        <charset val="1"/>
      </rPr>
      <t xml:space="preserve">000-0000 </t>
    </r>
    <r>
      <rPr>
        <sz val="10"/>
        <color rgb="FF0000FF"/>
        <rFont val="WenQuanYi Zen Hei"/>
        <family val="2"/>
      </rPr>
      <t xml:space="preserve">【住所】</t>
    </r>
  </si>
  <si>
    <r>
      <rPr>
        <sz val="9"/>
        <color rgb="FF808080"/>
        <rFont val="WenQuanYi Zen Hei"/>
        <family val="2"/>
      </rPr>
      <t xml:space="preserve">← 例：〒</t>
    </r>
    <r>
      <rPr>
        <sz val="9"/>
        <color rgb="FF808080"/>
        <rFont val="Meiryo"/>
        <family val="0"/>
        <charset val="1"/>
      </rPr>
      <t xml:space="preserve">150-0001 </t>
    </r>
    <r>
      <rPr>
        <sz val="9"/>
        <color rgb="FF808080"/>
        <rFont val="WenQuanYi Zen Hei"/>
        <family val="2"/>
      </rPr>
      <t xml:space="preserve">東京都渋谷区〇〇</t>
    </r>
    <r>
      <rPr>
        <sz val="9"/>
        <color rgb="FF808080"/>
        <rFont val="Meiryo"/>
        <family val="0"/>
        <charset val="1"/>
      </rPr>
      <t xml:space="preserve">1-2-3</t>
    </r>
  </si>
  <si>
    <t xml:space="preserve">電話番号</t>
  </si>
  <si>
    <t xml:space="preserve">000-0000-0000</t>
  </si>
  <si>
    <t xml:space="preserve">メールアドレス</t>
  </si>
  <si>
    <t xml:space="preserve">【メールアドレス】</t>
  </si>
  <si>
    <t xml:space="preserve">担当者名</t>
  </si>
  <si>
    <t xml:space="preserve">【担当者名】</t>
  </si>
  <si>
    <t xml:space="preserve">振込先</t>
  </si>
  <si>
    <t xml:space="preserve">【銀行名・支店名・種別・口座番号・口座名義】</t>
  </si>
  <si>
    <t xml:space="preserve">← 追加ご発注が発生した場合のみ使用します</t>
  </si>
  <si>
    <t xml:space="preserve">■ 宛先・見積情報</t>
  </si>
  <si>
    <t xml:space="preserve">宛先（お客様名）</t>
  </si>
  <si>
    <t xml:space="preserve">〇〇〇〇</t>
  </si>
  <si>
    <t xml:space="preserve">← 相手ごとに書き換えてください</t>
  </si>
  <si>
    <t xml:space="preserve">敬称</t>
  </si>
  <si>
    <t xml:space="preserve">御中</t>
  </si>
  <si>
    <t xml:space="preserve">← 法人＝御中／個人＝様</t>
  </si>
  <si>
    <t xml:space="preserve">発行日</t>
  </si>
  <si>
    <r>
      <rPr>
        <sz val="10"/>
        <color rgb="FF0000FF"/>
        <rFont val="Meiryo"/>
        <family val="0"/>
        <charset val="1"/>
      </rPr>
      <t xml:space="preserve">2026</t>
    </r>
    <r>
      <rPr>
        <sz val="10"/>
        <color rgb="FF0000FF"/>
        <rFont val="WenQuanYi Zen Hei"/>
        <family val="2"/>
      </rPr>
      <t xml:space="preserve">年</t>
    </r>
    <r>
      <rPr>
        <sz val="10"/>
        <color rgb="FF0000FF"/>
        <rFont val="Meiryo"/>
        <family val="0"/>
        <charset val="1"/>
      </rPr>
      <t xml:space="preserve">8</t>
    </r>
    <r>
      <rPr>
        <sz val="10"/>
        <color rgb="FF0000FF"/>
        <rFont val="WenQuanYi Zen Hei"/>
        <family val="2"/>
      </rPr>
      <t xml:space="preserve">月</t>
    </r>
    <r>
      <rPr>
        <sz val="10"/>
        <color rgb="FF0000FF"/>
        <rFont val="Meiryo"/>
        <family val="0"/>
        <charset val="1"/>
      </rPr>
      <t xml:space="preserve">23</t>
    </r>
    <r>
      <rPr>
        <sz val="10"/>
        <color rgb="FF0000FF"/>
        <rFont val="WenQuanYi Zen Hei"/>
        <family val="2"/>
      </rPr>
      <t xml:space="preserve">日</t>
    </r>
  </si>
  <si>
    <t xml:space="preserve">見積番号</t>
  </si>
  <si>
    <t xml:space="preserve">MG-2026-0001</t>
  </si>
  <si>
    <t xml:space="preserve">← 相手ごとに連番で振ってください</t>
  </si>
  <si>
    <t xml:space="preserve">見積有効期限</t>
  </si>
  <si>
    <r>
      <rPr>
        <sz val="10"/>
        <color rgb="FF0000FF"/>
        <rFont val="WenQuanYi Zen Hei"/>
        <family val="2"/>
      </rPr>
      <t xml:space="preserve">発行日より</t>
    </r>
    <r>
      <rPr>
        <sz val="10"/>
        <color rgb="FF0000FF"/>
        <rFont val="Meiryo"/>
        <family val="0"/>
        <charset val="1"/>
      </rPr>
      <t xml:space="preserve">30</t>
    </r>
    <r>
      <rPr>
        <sz val="10"/>
        <color rgb="FF0000FF"/>
        <rFont val="WenQuanYi Zen Hei"/>
        <family val="2"/>
      </rPr>
      <t xml:space="preserve">日間</t>
    </r>
  </si>
  <si>
    <t xml:space="preserve">納期</t>
  </si>
  <si>
    <r>
      <rPr>
        <sz val="10"/>
        <color rgb="FF0000FF"/>
        <rFont val="WenQuanYi Zen Hei"/>
        <family val="2"/>
      </rPr>
      <t xml:space="preserve">ご発注後 約</t>
    </r>
    <r>
      <rPr>
        <sz val="10"/>
        <color rgb="FF0000FF"/>
        <rFont val="Meiryo"/>
        <family val="0"/>
        <charset val="1"/>
      </rPr>
      <t xml:space="preserve">4</t>
    </r>
    <r>
      <rPr>
        <sz val="10"/>
        <color rgb="FF0000FF"/>
        <rFont val="WenQuanYi Zen Hei"/>
        <family val="2"/>
      </rPr>
      <t xml:space="preserve">〜</t>
    </r>
    <r>
      <rPr>
        <sz val="10"/>
        <color rgb="FF0000FF"/>
        <rFont val="Meiryo"/>
        <family val="0"/>
        <charset val="1"/>
      </rPr>
      <t xml:space="preserve">6</t>
    </r>
    <r>
      <rPr>
        <sz val="10"/>
        <color rgb="FF0000FF"/>
        <rFont val="WenQuanYi Zen Hei"/>
        <family val="2"/>
      </rPr>
      <t xml:space="preserve">週間（ヒアリング完了より起算）</t>
    </r>
  </si>
  <si>
    <t xml:space="preserve">■ 計算条件</t>
  </si>
  <si>
    <t xml:space="preserve">消費税率</t>
  </si>
  <si>
    <t xml:space="preserve">← 税率が変わった場合はここだけ変更</t>
  </si>
  <si>
    <r>
      <rPr>
        <b val="true"/>
        <sz val="10"/>
        <rFont val="WenQuanYi Zen Hei"/>
        <family val="2"/>
      </rPr>
      <t xml:space="preserve">通常価格（</t>
    </r>
    <r>
      <rPr>
        <b val="true"/>
        <sz val="10"/>
        <rFont val="Meiryo"/>
        <family val="0"/>
        <charset val="1"/>
      </rPr>
      <t xml:space="preserve">4</t>
    </r>
    <r>
      <rPr>
        <b val="true"/>
        <sz val="10"/>
        <rFont val="WenQuanYi Zen Hei"/>
        <family val="2"/>
      </rPr>
      <t xml:space="preserve">話＋総集編・税別）</t>
    </r>
  </si>
  <si>
    <t xml:space="preserve">← 無料提供の定価。備考の記載にも使われます</t>
  </si>
  <si>
    <t xml:space="preserve">凡例</t>
  </si>
  <si>
    <t xml:space="preserve">黄色のセル</t>
  </si>
  <si>
    <t xml:space="preserve">入力欄。ここだけ書き換えてください。</t>
  </si>
  <si>
    <t xml:space="preserve">青文字</t>
  </si>
  <si>
    <t xml:space="preserve">手入力の値。</t>
  </si>
  <si>
    <t xml:space="preserve">緑文字</t>
  </si>
  <si>
    <t xml:space="preserve">他シートを参照している値。直接書き換えないでください。</t>
  </si>
  <si>
    <t xml:space="preserve">黒文字</t>
  </si>
  <si>
    <t xml:space="preserve">自動計算されるセル。触らないでください。</t>
  </si>
  <si>
    <t xml:space="preserve">使い方</t>
  </si>
  <si>
    <t xml:space="preserve">① このシートの黄色いセルを埋める（会社情報は一度だけ。宛先・見積番号は相手ごとに変更）</t>
  </si>
  <si>
    <r>
      <rPr>
        <sz val="10"/>
        <rFont val="WenQuanYi Zen Hei"/>
        <family val="2"/>
      </rPr>
      <t xml:space="preserve">② 「見積書（無料制作）」シートを印刷／</t>
    </r>
    <r>
      <rPr>
        <sz val="10"/>
        <rFont val="Meiryo"/>
        <family val="0"/>
        <charset val="1"/>
      </rPr>
      <t xml:space="preserve">PDF</t>
    </r>
    <r>
      <rPr>
        <sz val="10"/>
        <rFont val="WenQuanYi Zen Hei"/>
        <family val="2"/>
      </rPr>
      <t xml:space="preserve">出力して相手に送付する</t>
    </r>
  </si>
  <si>
    <t xml:space="preserve">③ 追加のご依頼が発生したら「見積書（追加オプション）」シートの数量欄に数を入れて送付する</t>
  </si>
  <si>
    <t xml:space="preserve">④ 単価を変えたいときは「料金表」シートを編集する（追加オプション見積書に自動反映）</t>
  </si>
  <si>
    <t xml:space="preserve">御 見 積 書</t>
  </si>
  <si>
    <t xml:space="preserve">下記の通りお見積り申し上げます。</t>
  </si>
  <si>
    <t xml:space="preserve">件　名</t>
  </si>
  <si>
    <r>
      <rPr>
        <sz val="10"/>
        <rFont val="WenQuanYi Zen Hei"/>
        <family val="2"/>
      </rPr>
      <t xml:space="preserve">社長ショートドラマ制作　全</t>
    </r>
    <r>
      <rPr>
        <sz val="10"/>
        <rFont val="Meiryo"/>
        <family val="0"/>
        <charset val="1"/>
      </rPr>
      <t xml:space="preserve">4</t>
    </r>
    <r>
      <rPr>
        <sz val="10"/>
        <rFont val="WenQuanYi Zen Hei"/>
        <family val="2"/>
      </rPr>
      <t xml:space="preserve">話＋総集編　一式</t>
    </r>
  </si>
  <si>
    <t xml:space="preserve">有効期限</t>
  </si>
  <si>
    <t xml:space="preserve">納　期</t>
  </si>
  <si>
    <t xml:space="preserve">お支払条件</t>
  </si>
  <si>
    <t xml:space="preserve">本見積は無償提供のため、お支払いはございません</t>
  </si>
  <si>
    <t xml:space="preserve">御 見 積 金 額（税込）</t>
  </si>
  <si>
    <t xml:space="preserve">No.</t>
  </si>
  <si>
    <t xml:space="preserve">品目・仕様</t>
  </si>
  <si>
    <t xml:space="preserve">数量</t>
  </si>
  <si>
    <t xml:space="preserve">単位</t>
  </si>
  <si>
    <t xml:space="preserve">単価</t>
  </si>
  <si>
    <t xml:space="preserve">金額</t>
  </si>
  <si>
    <r>
      <rPr>
        <sz val="10"/>
        <rFont val="WenQuanYi Zen Hei"/>
        <family val="2"/>
      </rPr>
      <t xml:space="preserve">企画・構成（全</t>
    </r>
    <r>
      <rPr>
        <sz val="10"/>
        <rFont val="Meiryo"/>
        <family val="0"/>
        <charset val="1"/>
      </rPr>
      <t xml:space="preserve">4</t>
    </r>
    <r>
      <rPr>
        <sz val="10"/>
        <rFont val="WenQuanYi Zen Hei"/>
        <family val="2"/>
      </rPr>
      <t xml:space="preserve">話＋総集編／エピソード設計・構成台本）</t>
    </r>
  </si>
  <si>
    <t xml:space="preserve">式</t>
  </si>
  <si>
    <r>
      <rPr>
        <sz val="10"/>
        <rFont val="WenQuanYi Zen Hei"/>
        <family val="2"/>
      </rPr>
      <t xml:space="preserve">脚本制作（本編 全</t>
    </r>
    <r>
      <rPr>
        <sz val="10"/>
        <rFont val="Meiryo"/>
        <family val="0"/>
        <charset val="1"/>
      </rPr>
      <t xml:space="preserve">4</t>
    </r>
    <r>
      <rPr>
        <sz val="10"/>
        <rFont val="WenQuanYi Zen Hei"/>
        <family val="2"/>
      </rPr>
      <t xml:space="preserve">話／ナレーション・セリフ・テロップ原稿）</t>
    </r>
  </si>
  <si>
    <t xml:space="preserve">話</t>
  </si>
  <si>
    <r>
      <rPr>
        <sz val="10"/>
        <rFont val="WenQuanYi Zen Hei"/>
        <family val="2"/>
      </rPr>
      <t xml:space="preserve">映像制作・編集（本編 全</t>
    </r>
    <r>
      <rPr>
        <sz val="10"/>
        <rFont val="Meiryo"/>
        <family val="0"/>
        <charset val="1"/>
      </rPr>
      <t xml:space="preserve">4</t>
    </r>
    <r>
      <rPr>
        <sz val="10"/>
        <rFont val="WenQuanYi Zen Hei"/>
        <family val="2"/>
      </rPr>
      <t xml:space="preserve">話／</t>
    </r>
    <r>
      <rPr>
        <sz val="10"/>
        <rFont val="Meiryo"/>
        <family val="0"/>
        <charset val="1"/>
      </rPr>
      <t xml:space="preserve">AI</t>
    </r>
    <r>
      <rPr>
        <sz val="10"/>
        <rFont val="WenQuanYi Zen Hei"/>
        <family val="2"/>
      </rPr>
      <t xml:space="preserve">映像生成・カット編集）</t>
    </r>
  </si>
  <si>
    <r>
      <rPr>
        <sz val="10"/>
        <rFont val="WenQuanYi Zen Hei"/>
        <family val="2"/>
      </rPr>
      <t xml:space="preserve">総集編 制作・編集（</t>
    </r>
    <r>
      <rPr>
        <sz val="10"/>
        <rFont val="Meiryo"/>
        <family val="0"/>
        <charset val="1"/>
      </rPr>
      <t xml:space="preserve">1</t>
    </r>
    <r>
      <rPr>
        <sz val="10"/>
        <rFont val="WenQuanYi Zen Hei"/>
        <family val="2"/>
      </rPr>
      <t xml:space="preserve">本）</t>
    </r>
  </si>
  <si>
    <t xml:space="preserve">本</t>
  </si>
  <si>
    <r>
      <rPr>
        <sz val="10"/>
        <rFont val="WenQuanYi Zen Hei"/>
        <family val="2"/>
      </rPr>
      <t xml:space="preserve">テロップ挿入・</t>
    </r>
    <r>
      <rPr>
        <sz val="10"/>
        <rFont val="Meiryo"/>
        <family val="0"/>
        <charset val="1"/>
      </rPr>
      <t xml:space="preserve">BGM</t>
    </r>
    <r>
      <rPr>
        <sz val="10"/>
        <rFont val="WenQuanYi Zen Hei"/>
        <family val="2"/>
      </rPr>
      <t xml:space="preserve">・効果音・仕上げ</t>
    </r>
  </si>
  <si>
    <r>
      <rPr>
        <sz val="10"/>
        <rFont val="WenQuanYi Zen Hei"/>
        <family val="2"/>
      </rPr>
      <t xml:space="preserve">各</t>
    </r>
    <r>
      <rPr>
        <sz val="10"/>
        <rFont val="Meiryo"/>
        <family val="0"/>
        <charset val="1"/>
      </rPr>
      <t xml:space="preserve">SNS</t>
    </r>
    <r>
      <rPr>
        <sz val="10"/>
        <rFont val="WenQuanYi Zen Hei"/>
        <family val="2"/>
      </rPr>
      <t xml:space="preserve">向け書き出し・納品（</t>
    </r>
    <r>
      <rPr>
        <sz val="10"/>
        <rFont val="Meiryo"/>
        <family val="0"/>
        <charset val="1"/>
      </rPr>
      <t xml:space="preserve">Instagram / TikTok / YouTube Shorts</t>
    </r>
    <r>
      <rPr>
        <sz val="10"/>
        <rFont val="WenQuanYi Zen Hei"/>
        <family val="2"/>
      </rPr>
      <t xml:space="preserve">）</t>
    </r>
  </si>
  <si>
    <r>
      <rPr>
        <sz val="10"/>
        <rFont val="WenQuanYi Zen Hei"/>
        <family val="2"/>
      </rPr>
      <t xml:space="preserve">修正対応（軽微修正 </t>
    </r>
    <r>
      <rPr>
        <sz val="10"/>
        <rFont val="Meiryo"/>
        <family val="0"/>
        <charset val="1"/>
      </rPr>
      <t xml:space="preserve">1</t>
    </r>
    <r>
      <rPr>
        <sz val="10"/>
        <rFont val="WenQuanYi Zen Hei"/>
        <family val="2"/>
      </rPr>
      <t xml:space="preserve">回分）</t>
    </r>
  </si>
  <si>
    <t xml:space="preserve">回</t>
  </si>
  <si>
    <t xml:space="preserve">特別ご協力割引（本企画へのご参加条件のご履行を条件とする全額割引）</t>
  </si>
  <si>
    <t xml:space="preserve">小　計（税別）</t>
  </si>
  <si>
    <t xml:space="preserve">合計金額（税込）</t>
  </si>
  <si>
    <t xml:space="preserve">備　考</t>
  </si>
  <si>
    <r>
      <rPr>
        <sz val="9"/>
        <rFont val="WenQuanYi Zen Hei"/>
        <family val="2"/>
      </rPr>
      <t xml:space="preserve">※本見積書は、下記</t>
    </r>
    <r>
      <rPr>
        <sz val="9"/>
        <rFont val="Meiryo"/>
        <family val="0"/>
        <charset val="1"/>
      </rPr>
      <t xml:space="preserve">4</t>
    </r>
    <r>
      <rPr>
        <sz val="9"/>
        <rFont val="WenQuanYi Zen Hei"/>
        <family val="2"/>
      </rPr>
      <t xml:space="preserve">条件のご履行を前提とした特別無償提供です。</t>
    </r>
  </si>
  <si>
    <r>
      <rPr>
        <sz val="9"/>
        <rFont val="WenQuanYi Zen Hei"/>
        <family val="2"/>
      </rPr>
      <t xml:space="preserve">　①納品後</t>
    </r>
    <r>
      <rPr>
        <sz val="9"/>
        <rFont val="Meiryo"/>
        <family val="0"/>
        <charset val="1"/>
      </rPr>
      <t xml:space="preserve">7</t>
    </r>
    <r>
      <rPr>
        <sz val="9"/>
        <rFont val="WenQuanYi Zen Hei"/>
        <family val="2"/>
      </rPr>
      <t xml:space="preserve">日以内に、ご本人アカウントにて投稿（</t>
    </r>
    <r>
      <rPr>
        <sz val="9"/>
        <rFont val="Meiryo"/>
        <family val="0"/>
        <charset val="1"/>
      </rPr>
      <t xml:space="preserve">Instagram</t>
    </r>
    <r>
      <rPr>
        <sz val="9"/>
        <rFont val="WenQuanYi Zen Hei"/>
        <family val="2"/>
      </rPr>
      <t xml:space="preserve">「共同投稿者」機能で弊社アカウントを共同投稿者に設定／</t>
    </r>
    <r>
      <rPr>
        <sz val="9"/>
        <rFont val="Meiryo"/>
        <family val="0"/>
        <charset val="1"/>
      </rPr>
      <t xml:space="preserve">6</t>
    </r>
    <r>
      <rPr>
        <sz val="9"/>
        <rFont val="WenQuanYi Zen Hei"/>
        <family val="2"/>
      </rPr>
      <t xml:space="preserve">ヶ月間の掲載継続）</t>
    </r>
  </si>
  <si>
    <t xml:space="preserve">　②キャプションへの制作クレジット記載および弊社公式アカウントのタグ付け・メンション</t>
  </si>
  <si>
    <r>
      <rPr>
        <sz val="9"/>
        <rFont val="WenQuanYi Zen Hei"/>
        <family val="2"/>
      </rPr>
      <t xml:space="preserve">　③第</t>
    </r>
    <r>
      <rPr>
        <sz val="9"/>
        <rFont val="Meiryo"/>
        <family val="0"/>
        <charset val="1"/>
      </rPr>
      <t xml:space="preserve">1</t>
    </r>
    <r>
      <rPr>
        <sz val="9"/>
        <rFont val="WenQuanYi Zen Hei"/>
        <family val="2"/>
      </rPr>
      <t xml:space="preserve">話公開時・総集編公開時の計</t>
    </r>
    <r>
      <rPr>
        <sz val="9"/>
        <rFont val="Meiryo"/>
        <family val="0"/>
        <charset val="1"/>
      </rPr>
      <t xml:space="preserve">2</t>
    </r>
    <r>
      <rPr>
        <sz val="9"/>
        <rFont val="WenQuanYi Zen Hei"/>
        <family val="2"/>
      </rPr>
      <t xml:space="preserve">回、ストーリーズでのご紹介（弊社アカウントのメンション付き）</t>
    </r>
  </si>
  <si>
    <t xml:space="preserve">　④完成動画の弊社二次利用（実績紹介・公式アカウントでの再投稿・営業資料・広告素材）のご許可</t>
  </si>
  <si>
    <r>
      <rPr>
        <sz val="9"/>
        <rFont val="WenQuanYi Zen Hei"/>
        <family val="2"/>
      </rPr>
      <t xml:space="preserve">※無償修正は納品後</t>
    </r>
    <r>
      <rPr>
        <sz val="9"/>
        <rFont val="Meiryo"/>
        <family val="0"/>
        <charset val="1"/>
      </rPr>
      <t xml:space="preserve">1</t>
    </r>
    <r>
      <rPr>
        <sz val="9"/>
        <rFont val="WenQuanYi Zen Hei"/>
        <family val="2"/>
      </rPr>
      <t xml:space="preserve">回・軽微修正のみとし、納品後</t>
    </r>
    <r>
      <rPr>
        <sz val="9"/>
        <rFont val="Meiryo"/>
        <family val="0"/>
        <charset val="1"/>
      </rPr>
      <t xml:space="preserve">3</t>
    </r>
    <r>
      <rPr>
        <sz val="9"/>
        <rFont val="WenQuanYi Zen Hei"/>
        <family val="2"/>
      </rPr>
      <t xml:space="preserve">日以内に一括でご依頼ください。範囲を超える修正は「料金表」に基づき別途お見積りいたします。</t>
    </r>
  </si>
  <si>
    <r>
      <rPr>
        <sz val="9"/>
        <rFont val="WenQuanYi Zen Hei"/>
        <family val="2"/>
      </rPr>
      <t xml:space="preserve">　【軽微修正に含まれるもの】テロップの誤字・表記ゆれ／事実誤認の訂正／</t>
    </r>
    <r>
      <rPr>
        <sz val="9"/>
        <rFont val="Meiryo"/>
        <family val="0"/>
        <charset val="1"/>
      </rPr>
      <t xml:space="preserve">BGM</t>
    </r>
    <r>
      <rPr>
        <sz val="9"/>
        <rFont val="WenQuanYi Zen Hei"/>
        <family val="2"/>
      </rPr>
      <t xml:space="preserve">・効果音の音量調整／尺の微調整（</t>
    </r>
    <r>
      <rPr>
        <sz val="9"/>
        <rFont val="Meiryo"/>
        <family val="0"/>
        <charset val="1"/>
      </rPr>
      <t xml:space="preserve">±3</t>
    </r>
    <r>
      <rPr>
        <sz val="9"/>
        <rFont val="WenQuanYi Zen Hei"/>
        <family val="2"/>
      </rPr>
      <t xml:space="preserve">秒程度）／ご提供済み素材の差し替え</t>
    </r>
  </si>
  <si>
    <t xml:space="preserve">　【別途お見積りとなるもの】構成・脚本の変更／シーン・カットの作り直し／登場人物のビジュアル変更／演出方向の変更／全体の作り直し</t>
  </si>
  <si>
    <t xml:space="preserve">※脚本のご確認をもって内容の確定といたします。映像制作着手後の構成変更は別途お見積りとなります。</t>
  </si>
  <si>
    <r>
      <rPr>
        <sz val="9"/>
        <rFont val="WenQuanYi Zen Hei"/>
        <family val="2"/>
      </rPr>
      <t xml:space="preserve">※確認のご依頼から</t>
    </r>
    <r>
      <rPr>
        <sz val="9"/>
        <rFont val="Meiryo"/>
        <family val="0"/>
        <charset val="1"/>
      </rPr>
      <t xml:space="preserve">3</t>
    </r>
    <r>
      <rPr>
        <sz val="9"/>
        <rFont val="WenQuanYi Zen Hei"/>
        <family val="2"/>
      </rPr>
      <t xml:space="preserve">営業日以内にご返信がない場合は、ご承認いただいたものとみなし次工程へ進行いたします。</t>
    </r>
  </si>
  <si>
    <r>
      <rPr>
        <sz val="9"/>
        <rFont val="WenQuanYi Zen Hei"/>
        <family val="2"/>
      </rPr>
      <t xml:space="preserve">※素材（お写真・ロゴ等）のご提出はご依頼から</t>
    </r>
    <r>
      <rPr>
        <sz val="9"/>
        <rFont val="Meiryo"/>
        <family val="0"/>
        <charset val="1"/>
      </rPr>
      <t xml:space="preserve">7</t>
    </r>
    <r>
      <rPr>
        <sz val="9"/>
        <rFont val="WenQuanYi Zen Hei"/>
        <family val="2"/>
      </rPr>
      <t xml:space="preserve">日以内にお願いいたします。</t>
    </r>
    <r>
      <rPr>
        <sz val="9"/>
        <rFont val="Meiryo"/>
        <family val="0"/>
        <charset val="1"/>
      </rPr>
      <t xml:space="preserve">2</t>
    </r>
    <r>
      <rPr>
        <sz val="9"/>
        <rFont val="WenQuanYi Zen Hei"/>
        <family val="2"/>
      </rPr>
      <t xml:space="preserve">週間ご連絡が取れない場合はいったん制作終了とし、再開は別途お見積りといたします。</t>
    </r>
  </si>
  <si>
    <r>
      <rPr>
        <sz val="9"/>
        <rFont val="WenQuanYi Zen Hei"/>
        <family val="2"/>
      </rPr>
      <t xml:space="preserve">※本ドラマの映像は</t>
    </r>
    <r>
      <rPr>
        <sz val="9"/>
        <rFont val="Meiryo"/>
        <family val="0"/>
        <charset val="1"/>
      </rPr>
      <t xml:space="preserve">AI</t>
    </r>
    <r>
      <rPr>
        <sz val="9"/>
        <rFont val="WenQuanYi Zen Hei"/>
        <family val="2"/>
      </rPr>
      <t xml:space="preserve">により生成しております。登場人物は実在の人物ではありません。ご本人のお写真を使用する場合は事前にご相談いたします。</t>
    </r>
  </si>
  <si>
    <t xml:space="preserve">※エピソード内の実績・数値等、事実関係のご確認はご本人にてお願いいたします。</t>
  </si>
  <si>
    <t xml:space="preserve">※制作途中でご中止となった場合、制作済みデータの権利は弊社に帰属し、公開はご遠慮いただきます。</t>
  </si>
  <si>
    <t xml:space="preserve">社長ショートドラマ制作　追加オプション</t>
  </si>
  <si>
    <t xml:space="preserve">納品後 翌月末までに指定口座へお振込み（振込手数料は貴社ご負担）</t>
  </si>
  <si>
    <r>
      <rPr>
        <sz val="10"/>
        <rFont val="WenQuanYi Zen Hei"/>
        <family val="2"/>
      </rPr>
      <t xml:space="preserve">特急対応割増（ご依頼から</t>
    </r>
    <r>
      <rPr>
        <sz val="10"/>
        <rFont val="Meiryo"/>
        <family val="0"/>
        <charset val="1"/>
      </rPr>
      <t xml:space="preserve">72</t>
    </r>
    <r>
      <rPr>
        <sz val="10"/>
        <rFont val="WenQuanYi Zen Hei"/>
        <family val="2"/>
      </rPr>
      <t xml:space="preserve">時間以内の納品／上記小計の</t>
    </r>
    <r>
      <rPr>
        <sz val="10"/>
        <rFont val="Meiryo"/>
        <family val="0"/>
        <charset val="1"/>
      </rPr>
      <t xml:space="preserve">50%</t>
    </r>
    <r>
      <rPr>
        <sz val="10"/>
        <rFont val="WenQuanYi Zen Hei"/>
        <family val="2"/>
      </rPr>
      <t xml:space="preserve">）</t>
    </r>
  </si>
  <si>
    <t xml:space="preserve">備　考・ご記入方法</t>
  </si>
  <si>
    <t xml:space="preserve">※黄色のセル（数量欄）にご希望の数量をご入力ください。金額・小計・消費税・合計は自動で計算されます。</t>
  </si>
  <si>
    <t xml:space="preserve">※単価は「料金表」シートと連動しています。単価を変更する場合は「料金表」シートをご編集ください。</t>
  </si>
  <si>
    <r>
      <rPr>
        <sz val="9"/>
        <rFont val="WenQuanYi Zen Hei"/>
        <family val="2"/>
      </rPr>
      <t xml:space="preserve">※特急対応割増は、数量欄に「</t>
    </r>
    <r>
      <rPr>
        <sz val="9"/>
        <rFont val="Meiryo"/>
        <family val="0"/>
        <charset val="1"/>
      </rPr>
      <t xml:space="preserve">1</t>
    </r>
    <r>
      <rPr>
        <sz val="9"/>
        <rFont val="WenQuanYi Zen Hei"/>
        <family val="2"/>
      </rPr>
      <t xml:space="preserve">」を入力すると項番</t>
    </r>
    <r>
      <rPr>
        <sz val="9"/>
        <rFont val="Meiryo"/>
        <family val="0"/>
        <charset val="1"/>
      </rPr>
      <t xml:space="preserve">1</t>
    </r>
    <r>
      <rPr>
        <sz val="9"/>
        <rFont val="WenQuanYi Zen Hei"/>
        <family val="2"/>
      </rPr>
      <t xml:space="preserve">〜</t>
    </r>
    <r>
      <rPr>
        <sz val="9"/>
        <rFont val="Meiryo"/>
        <family val="0"/>
        <charset val="1"/>
      </rPr>
      <t xml:space="preserve">6</t>
    </r>
    <r>
      <rPr>
        <sz val="9"/>
        <rFont val="WenQuanYi Zen Hei"/>
        <family val="2"/>
      </rPr>
      <t xml:space="preserve">の小計の</t>
    </r>
    <r>
      <rPr>
        <sz val="9"/>
        <rFont val="Meiryo"/>
        <family val="0"/>
        <charset val="1"/>
      </rPr>
      <t xml:space="preserve">50%</t>
    </r>
    <r>
      <rPr>
        <sz val="9"/>
        <rFont val="WenQuanYi Zen Hei"/>
        <family val="2"/>
      </rPr>
      <t xml:space="preserve">が加算されます。</t>
    </r>
  </si>
  <si>
    <r>
      <rPr>
        <sz val="9"/>
        <rFont val="WenQuanYi Zen Hei"/>
        <family val="2"/>
      </rPr>
      <t xml:space="preserve">【記入例】追加修正を</t>
    </r>
    <r>
      <rPr>
        <sz val="9"/>
        <rFont val="Meiryo"/>
        <family val="0"/>
        <charset val="1"/>
      </rPr>
      <t xml:space="preserve">2</t>
    </r>
    <r>
      <rPr>
        <sz val="9"/>
        <rFont val="WenQuanYi Zen Hei"/>
        <family val="2"/>
      </rPr>
      <t xml:space="preserve">回、シーン再生成を</t>
    </r>
    <r>
      <rPr>
        <sz val="9"/>
        <rFont val="Meiryo"/>
        <family val="0"/>
        <charset val="1"/>
      </rPr>
      <t xml:space="preserve">3</t>
    </r>
    <r>
      <rPr>
        <sz val="9"/>
        <rFont val="WenQuanYi Zen Hei"/>
        <family val="2"/>
      </rPr>
      <t xml:space="preserve">カットご依頼の場合</t>
    </r>
  </si>
  <si>
    <r>
      <rPr>
        <sz val="9"/>
        <rFont val="WenQuanYi Zen Hei"/>
        <family val="2"/>
      </rPr>
      <t xml:space="preserve">　　項番</t>
    </r>
    <r>
      <rPr>
        <sz val="9"/>
        <rFont val="Meiryo"/>
        <family val="0"/>
        <charset val="1"/>
      </rPr>
      <t xml:space="preserve">5</t>
    </r>
    <r>
      <rPr>
        <sz val="9"/>
        <rFont val="WenQuanYi Zen Hei"/>
        <family val="2"/>
      </rPr>
      <t xml:space="preserve">「追加修正（軽微修正・</t>
    </r>
    <r>
      <rPr>
        <sz val="9"/>
        <rFont val="Meiryo"/>
        <family val="0"/>
        <charset val="1"/>
      </rPr>
      <t xml:space="preserve">2</t>
    </r>
    <r>
      <rPr>
        <sz val="9"/>
        <rFont val="WenQuanYi Zen Hei"/>
        <family val="2"/>
      </rPr>
      <t xml:space="preserve">回目以降）」の数量欄に「</t>
    </r>
    <r>
      <rPr>
        <sz val="9"/>
        <rFont val="Meiryo"/>
        <family val="0"/>
        <charset val="1"/>
      </rPr>
      <t xml:space="preserve">2</t>
    </r>
    <r>
      <rPr>
        <sz val="9"/>
        <rFont val="WenQuanYi Zen Hei"/>
        <family val="2"/>
      </rPr>
      <t xml:space="preserve">」→ 金額 </t>
    </r>
    <r>
      <rPr>
        <sz val="9"/>
        <rFont val="Meiryo"/>
        <family val="0"/>
        <charset val="1"/>
      </rPr>
      <t xml:space="preserve">¥20,000</t>
    </r>
  </si>
  <si>
    <r>
      <rPr>
        <sz val="9"/>
        <rFont val="WenQuanYi Zen Hei"/>
        <family val="2"/>
      </rPr>
      <t xml:space="preserve">　　項番</t>
    </r>
    <r>
      <rPr>
        <sz val="9"/>
        <rFont val="Meiryo"/>
        <family val="0"/>
        <charset val="1"/>
      </rPr>
      <t xml:space="preserve">4</t>
    </r>
    <r>
      <rPr>
        <sz val="9"/>
        <rFont val="WenQuanYi Zen Hei"/>
        <family val="2"/>
      </rPr>
      <t xml:space="preserve">「シーン再生成」の数量欄に「</t>
    </r>
    <r>
      <rPr>
        <sz val="9"/>
        <rFont val="Meiryo"/>
        <family val="0"/>
        <charset val="1"/>
      </rPr>
      <t xml:space="preserve">3</t>
    </r>
    <r>
      <rPr>
        <sz val="9"/>
        <rFont val="WenQuanYi Zen Hei"/>
        <family val="2"/>
      </rPr>
      <t xml:space="preserve">」→ 金額 </t>
    </r>
    <r>
      <rPr>
        <sz val="9"/>
        <rFont val="Meiryo"/>
        <family val="0"/>
        <charset val="1"/>
      </rPr>
      <t xml:space="preserve">¥15,000</t>
    </r>
  </si>
  <si>
    <r>
      <rPr>
        <sz val="9"/>
        <rFont val="WenQuanYi Zen Hei"/>
        <family val="2"/>
      </rPr>
      <t xml:space="preserve">　　小計 </t>
    </r>
    <r>
      <rPr>
        <sz val="9"/>
        <rFont val="Meiryo"/>
        <family val="0"/>
        <charset val="1"/>
      </rPr>
      <t xml:space="preserve">¥35,000 </t>
    </r>
    <r>
      <rPr>
        <sz val="9"/>
        <rFont val="WenQuanYi Zen Hei"/>
        <family val="2"/>
      </rPr>
      <t xml:space="preserve">／ 消費税 </t>
    </r>
    <r>
      <rPr>
        <sz val="9"/>
        <rFont val="Meiryo"/>
        <family val="0"/>
        <charset val="1"/>
      </rPr>
      <t xml:space="preserve">¥3,500 </t>
    </r>
    <r>
      <rPr>
        <sz val="9"/>
        <rFont val="WenQuanYi Zen Hei"/>
        <family val="2"/>
      </rPr>
      <t xml:space="preserve">／ 合計 </t>
    </r>
    <r>
      <rPr>
        <sz val="9"/>
        <rFont val="Meiryo"/>
        <family val="0"/>
        <charset val="1"/>
      </rPr>
      <t xml:space="preserve">¥38,500 </t>
    </r>
    <r>
      <rPr>
        <sz val="9"/>
        <rFont val="WenQuanYi Zen Hei"/>
        <family val="2"/>
      </rPr>
      <t xml:space="preserve">が自動表示されます</t>
    </r>
  </si>
  <si>
    <r>
      <rPr>
        <sz val="9"/>
        <rFont val="WenQuanYi Zen Hei"/>
        <family val="2"/>
      </rPr>
      <t xml:space="preserve">※無償制作分（全</t>
    </r>
    <r>
      <rPr>
        <sz val="9"/>
        <rFont val="Meiryo"/>
        <family val="0"/>
        <charset val="1"/>
      </rPr>
      <t xml:space="preserve">4</t>
    </r>
    <r>
      <rPr>
        <sz val="9"/>
        <rFont val="WenQuanYi Zen Hei"/>
        <family val="2"/>
      </rPr>
      <t xml:space="preserve">話＋総集編）に含まれる範囲を超えるご依頼が対象です。</t>
    </r>
  </si>
  <si>
    <t xml:space="preserve">※作業着手はご承認のご返信をいただいた後となります。</t>
  </si>
  <si>
    <t xml:space="preserve">※お支払いは納品後、翌月末までに指定口座へお振込みをお願いいたします。</t>
  </si>
  <si>
    <r>
      <rPr>
        <sz val="9"/>
        <rFont val="WenQuanYi Zen Hei"/>
        <family val="2"/>
      </rPr>
      <t xml:space="preserve">※本見積の有効期限は発行日より</t>
    </r>
    <r>
      <rPr>
        <sz val="9"/>
        <rFont val="Meiryo"/>
        <family val="0"/>
        <charset val="1"/>
      </rPr>
      <t xml:space="preserve">30</t>
    </r>
    <r>
      <rPr>
        <sz val="9"/>
        <rFont val="WenQuanYi Zen Hei"/>
        <family val="2"/>
      </rPr>
      <t xml:space="preserve">日間です。</t>
    </r>
  </si>
  <si>
    <t xml:space="preserve">追加オプション 料金表（税別）</t>
  </si>
  <si>
    <t xml:space="preserve">黄色の単価セルを変更すると「見積書（追加オプション）」シートに自動反映されます。</t>
  </si>
  <si>
    <t xml:space="preserve">項目</t>
  </si>
  <si>
    <t xml:space="preserve">単価（税別）</t>
  </si>
  <si>
    <t xml:space="preserve">備考</t>
  </si>
  <si>
    <r>
      <rPr>
        <sz val="10"/>
        <rFont val="WenQuanYi Zen Hei"/>
        <family val="2"/>
      </rPr>
      <t xml:space="preserve">社長ショートドラマ </t>
    </r>
    <r>
      <rPr>
        <sz val="10"/>
        <rFont val="Meiryo"/>
        <family val="0"/>
        <charset val="1"/>
      </rPr>
      <t xml:space="preserve">4</t>
    </r>
    <r>
      <rPr>
        <sz val="10"/>
        <rFont val="WenQuanYi Zen Hei"/>
        <family val="2"/>
      </rPr>
      <t xml:space="preserve">話＋総集編パッケージ</t>
    </r>
  </si>
  <si>
    <t xml:space="preserve">企画・脚本・映像制作・編集・納品まで一式（有料でお受けする場合の通常価格）</t>
  </si>
  <si>
    <t xml:space="preserve">追加話数の制作</t>
  </si>
  <si>
    <r>
      <rPr>
        <sz val="9"/>
        <rFont val="WenQuanYi Zen Hei"/>
        <family val="2"/>
      </rPr>
      <t xml:space="preserve">第</t>
    </r>
    <r>
      <rPr>
        <sz val="9"/>
        <rFont val="Meiryo"/>
        <family val="0"/>
        <charset val="1"/>
      </rPr>
      <t xml:space="preserve">5</t>
    </r>
    <r>
      <rPr>
        <sz val="9"/>
        <rFont val="WenQuanYi Zen Hei"/>
        <family val="2"/>
      </rPr>
      <t xml:space="preserve">話以降。企画・脚本・映像制作込み</t>
    </r>
  </si>
  <si>
    <t xml:space="preserve">構成・脚本からの作り直し</t>
  </si>
  <si>
    <t xml:space="preserve">映像制作着手後の構成変更・脚本の書き直し</t>
  </si>
  <si>
    <t xml:space="preserve">シーン再生成</t>
  </si>
  <si>
    <t xml:space="preserve">カット</t>
  </si>
  <si>
    <r>
      <rPr>
        <sz val="9"/>
        <rFont val="Meiryo"/>
        <family val="0"/>
        <charset val="1"/>
      </rPr>
      <t xml:space="preserve">1</t>
    </r>
    <r>
      <rPr>
        <sz val="9"/>
        <rFont val="WenQuanYi Zen Hei"/>
        <family val="2"/>
      </rPr>
      <t xml:space="preserve">カットあたり。既存構成のまま映像のみ差し替え</t>
    </r>
  </si>
  <si>
    <r>
      <rPr>
        <sz val="10"/>
        <rFont val="WenQuanYi Zen Hei"/>
        <family val="2"/>
      </rPr>
      <t xml:space="preserve">追加修正（軽微修正・</t>
    </r>
    <r>
      <rPr>
        <sz val="10"/>
        <rFont val="Meiryo"/>
        <family val="0"/>
        <charset val="1"/>
      </rPr>
      <t xml:space="preserve">2</t>
    </r>
    <r>
      <rPr>
        <sz val="10"/>
        <rFont val="WenQuanYi Zen Hei"/>
        <family val="2"/>
      </rPr>
      <t xml:space="preserve">回目以降）</t>
    </r>
  </si>
  <si>
    <r>
      <rPr>
        <sz val="9"/>
        <rFont val="WenQuanYi Zen Hei"/>
        <family val="2"/>
      </rPr>
      <t xml:space="preserve">納品後</t>
    </r>
    <r>
      <rPr>
        <sz val="9"/>
        <rFont val="Meiryo"/>
        <family val="0"/>
        <charset val="1"/>
      </rPr>
      <t xml:space="preserve">1</t>
    </r>
    <r>
      <rPr>
        <sz val="9"/>
        <rFont val="WenQuanYi Zen Hei"/>
        <family val="2"/>
      </rPr>
      <t xml:space="preserve">回目の軽微修正は無償。</t>
    </r>
    <r>
      <rPr>
        <sz val="9"/>
        <rFont val="Meiryo"/>
        <family val="0"/>
        <charset val="1"/>
      </rPr>
      <t xml:space="preserve">2</t>
    </r>
    <r>
      <rPr>
        <sz val="9"/>
        <rFont val="WenQuanYi Zen Hei"/>
        <family val="2"/>
      </rPr>
      <t xml:space="preserve">回目以降が対象</t>
    </r>
  </si>
  <si>
    <t xml:space="preserve">横型・正方形など別比率の書き出し</t>
  </si>
  <si>
    <r>
      <rPr>
        <sz val="9"/>
        <rFont val="Meiryo"/>
        <family val="0"/>
        <charset val="1"/>
      </rPr>
      <t xml:space="preserve">1</t>
    </r>
    <r>
      <rPr>
        <sz val="9"/>
        <rFont val="WenQuanYi Zen Hei"/>
        <family val="2"/>
      </rPr>
      <t xml:space="preserve">本あたり。</t>
    </r>
    <r>
      <rPr>
        <sz val="9"/>
        <rFont val="Meiryo"/>
        <family val="0"/>
        <charset val="1"/>
      </rPr>
      <t xml:space="preserve">16:9</t>
    </r>
    <r>
      <rPr>
        <sz val="9"/>
        <rFont val="WenQuanYi Zen Hei"/>
        <family val="2"/>
      </rPr>
      <t xml:space="preserve">／</t>
    </r>
    <r>
      <rPr>
        <sz val="9"/>
        <rFont val="Meiryo"/>
        <family val="0"/>
        <charset val="1"/>
      </rPr>
      <t xml:space="preserve">1:1 </t>
    </r>
    <r>
      <rPr>
        <sz val="9"/>
        <rFont val="WenQuanYi Zen Hei"/>
        <family val="2"/>
      </rPr>
      <t xml:space="preserve">などへのリサイズ書き出し</t>
    </r>
  </si>
  <si>
    <r>
      <rPr>
        <sz val="10"/>
        <rFont val="WenQuanYi Zen Hei"/>
        <family val="2"/>
      </rPr>
      <t xml:space="preserve">特急対応割増（ご依頼から</t>
    </r>
    <r>
      <rPr>
        <sz val="10"/>
        <rFont val="Meiryo"/>
        <family val="0"/>
        <charset val="1"/>
      </rPr>
      <t xml:space="preserve">72</t>
    </r>
    <r>
      <rPr>
        <sz val="10"/>
        <rFont val="WenQuanYi Zen Hei"/>
        <family val="2"/>
      </rPr>
      <t xml:space="preserve">時間以内の納品）</t>
    </r>
  </si>
  <si>
    <r>
      <rPr>
        <sz val="10"/>
        <rFont val="WenQuanYi Zen Hei"/>
        <family val="2"/>
      </rPr>
      <t xml:space="preserve">対象小計の</t>
    </r>
    <r>
      <rPr>
        <sz val="10"/>
        <rFont val="Meiryo"/>
        <family val="0"/>
        <charset val="1"/>
      </rPr>
      <t xml:space="preserve">50%</t>
    </r>
  </si>
  <si>
    <t xml:space="preserve">見積書シート側で自動計算されます（単価の手入力は不要）</t>
  </si>
  <si>
    <t xml:space="preserve">料金設定の考え方（社内メモ・相手には渡さないでください）</t>
  </si>
  <si>
    <r>
      <rPr>
        <sz val="9"/>
        <rFont val="WenQuanYi Zen Hei"/>
        <family val="2"/>
      </rPr>
      <t xml:space="preserve">・通常価格 </t>
    </r>
    <r>
      <rPr>
        <sz val="9"/>
        <rFont val="Meiryo"/>
        <family val="0"/>
        <charset val="1"/>
      </rPr>
      <t xml:space="preserve">250,000</t>
    </r>
    <r>
      <rPr>
        <sz val="9"/>
        <rFont val="WenQuanYi Zen Hei"/>
        <family val="2"/>
      </rPr>
      <t xml:space="preserve">円は「</t>
    </r>
    <r>
      <rPr>
        <sz val="9"/>
        <rFont val="Meiryo"/>
        <family val="0"/>
        <charset val="1"/>
      </rPr>
      <t xml:space="preserve">4</t>
    </r>
    <r>
      <rPr>
        <sz val="9"/>
        <rFont val="WenQuanYi Zen Hei"/>
        <family val="2"/>
      </rPr>
      <t xml:space="preserve">話＋総集編」を有料で受注する場合の価格。無料提供の価値を相手に示すための基準値でもある。</t>
    </r>
  </si>
  <si>
    <r>
      <rPr>
        <sz val="9"/>
        <rFont val="WenQuanYi Zen Hei"/>
        <family val="2"/>
      </rPr>
      <t xml:space="preserve">・追加修正 </t>
    </r>
    <r>
      <rPr>
        <sz val="9"/>
        <rFont val="Meiryo"/>
        <family val="0"/>
        <charset val="1"/>
      </rPr>
      <t xml:space="preserve">10,000</t>
    </r>
    <r>
      <rPr>
        <sz val="9"/>
        <rFont val="WenQuanYi Zen Hei"/>
        <family val="2"/>
      </rPr>
      <t xml:space="preserve">円</t>
    </r>
    <r>
      <rPr>
        <sz val="9"/>
        <rFont val="Meiryo"/>
        <family val="0"/>
        <charset val="1"/>
      </rPr>
      <t xml:space="preserve">/</t>
    </r>
    <r>
      <rPr>
        <sz val="9"/>
        <rFont val="WenQuanYi Zen Hei"/>
        <family val="2"/>
      </rPr>
      <t xml:space="preserve">回は、金額そのものより「無限に依頼できない」ことを示すための設定。安すぎると抑止にならず、高すぎると角が立つ水準。</t>
    </r>
  </si>
  <si>
    <r>
      <rPr>
        <sz val="9"/>
        <rFont val="WenQuanYi Zen Hei"/>
        <family val="2"/>
      </rPr>
      <t xml:space="preserve">・構成・脚本からの作り直し </t>
    </r>
    <r>
      <rPr>
        <sz val="9"/>
        <rFont val="Meiryo"/>
        <family val="0"/>
        <charset val="1"/>
      </rPr>
      <t xml:space="preserve">30,000</t>
    </r>
    <r>
      <rPr>
        <sz val="9"/>
        <rFont val="WenQuanYi Zen Hei"/>
        <family val="2"/>
      </rPr>
      <t xml:space="preserve">円</t>
    </r>
    <r>
      <rPr>
        <sz val="9"/>
        <rFont val="Meiryo"/>
        <family val="0"/>
        <charset val="1"/>
      </rPr>
      <t xml:space="preserve">/</t>
    </r>
    <r>
      <rPr>
        <sz val="9"/>
        <rFont val="WenQuanYi Zen Hei"/>
        <family val="2"/>
      </rPr>
      <t xml:space="preserve">話は、映像制作着手後の手戻りコストに相当。ここを無料にすると際限なく巻き戻される。</t>
    </r>
  </si>
  <si>
    <t xml:space="preserve">・断るのではなく「有料でお受けできます」と選ばせる形にすることで、細かい注文が売上に変わる。値引きはしない。</t>
  </si>
  <si>
    <t xml:space="preserve">・相手によって単価を変えない。スムーズに進めてくれた方が損をする運用にすると、紹介が止まる。</t>
  </si>
</sst>
</file>

<file path=xl/styles.xml><?xml version="1.0" encoding="utf-8"?>
<styleSheet xmlns="http://schemas.openxmlformats.org/spreadsheetml/2006/main">
  <numFmts count="6">
    <numFmt numFmtId="164" formatCode="General"/>
    <numFmt numFmtId="165" formatCode="0.0%"/>
    <numFmt numFmtId="166" formatCode="\¥#,##0;&quot;▲¥&quot;#,##0;\-"/>
    <numFmt numFmtId="167" formatCode="\¥#,##0;&quot;▲¥&quot;#,##0;&quot;¥0　（無償提供）&quot;"/>
    <numFmt numFmtId="168" formatCode="#,##0;\▲#,##0;\-"/>
    <numFmt numFmtId="169" formatCode="\¥#,##0;&quot;▲¥&quot;#,##0;&quot;¥0&quot;"/>
  </numFmts>
  <fonts count="31">
    <font>
      <sz val="11"/>
      <color theme="1"/>
      <name val="Calibri"/>
      <family val="2"/>
      <charset val="1"/>
    </font>
    <font>
      <sz val="10"/>
      <name val="Arial"/>
      <family val="0"/>
    </font>
    <font>
      <sz val="10"/>
      <name val="Arial"/>
      <family val="0"/>
    </font>
    <font>
      <sz val="10"/>
      <name val="Arial"/>
      <family val="0"/>
    </font>
    <font>
      <b val="true"/>
      <sz val="14"/>
      <name val="WenQuanYi Zen Hei"/>
      <family val="2"/>
    </font>
    <font>
      <sz val="9"/>
      <color rgb="FF808080"/>
      <name val="WenQuanYi Zen Hei"/>
      <family val="2"/>
    </font>
    <font>
      <b val="true"/>
      <sz val="11"/>
      <name val="WenQuanYi Zen Hei"/>
      <family val="2"/>
    </font>
    <font>
      <b val="true"/>
      <sz val="10"/>
      <name val="WenQuanYi Zen Hei"/>
      <family val="2"/>
    </font>
    <font>
      <sz val="10"/>
      <color rgb="FF0000FF"/>
      <name val="WenQuanYi Zen Hei"/>
      <family val="2"/>
    </font>
    <font>
      <sz val="10"/>
      <color rgb="FF0000FF"/>
      <name val="Meiryo"/>
      <family val="0"/>
      <charset val="1"/>
    </font>
    <font>
      <sz val="9"/>
      <color rgb="FF808080"/>
      <name val="Meiryo"/>
      <family val="0"/>
      <charset val="1"/>
    </font>
    <font>
      <b val="true"/>
      <sz val="10"/>
      <name val="Meiryo"/>
      <family val="0"/>
      <charset val="1"/>
    </font>
    <font>
      <sz val="10"/>
      <name val="WenQuanYi Zen Hei"/>
      <family val="2"/>
    </font>
    <font>
      <b val="true"/>
      <sz val="10"/>
      <color rgb="FF0000FF"/>
      <name val="WenQuanYi Zen Hei"/>
      <family val="2"/>
    </font>
    <font>
      <b val="true"/>
      <sz val="10"/>
      <color rgb="FF008000"/>
      <name val="WenQuanYi Zen Hei"/>
      <family val="2"/>
    </font>
    <font>
      <sz val="10"/>
      <name val="Meiryo"/>
      <family val="0"/>
      <charset val="1"/>
    </font>
    <font>
      <b val="true"/>
      <sz val="22"/>
      <name val="WenQuanYi Zen Hei"/>
      <family val="2"/>
    </font>
    <font>
      <b val="true"/>
      <sz val="14"/>
      <color rgb="FF008000"/>
      <name val="WenQuanYi Zen Hei"/>
      <family val="2"/>
    </font>
    <font>
      <sz val="10"/>
      <color rgb="FF008000"/>
      <name val="Meiryo"/>
      <family val="0"/>
      <charset val="1"/>
    </font>
    <font>
      <b val="true"/>
      <sz val="12"/>
      <color rgb="FF008000"/>
      <name val="WenQuanYi Zen Hei"/>
      <family val="2"/>
    </font>
    <font>
      <b val="true"/>
      <sz val="9"/>
      <name val="WenQuanYi Zen Hei"/>
      <family val="2"/>
    </font>
    <font>
      <sz val="10"/>
      <color rgb="FF008000"/>
      <name val="WenQuanYi Zen Hei"/>
      <family val="2"/>
    </font>
    <font>
      <b val="true"/>
      <sz val="13"/>
      <name val="WenQuanYi Zen Hei"/>
      <family val="2"/>
    </font>
    <font>
      <b val="true"/>
      <sz val="18"/>
      <name val="Meiryo"/>
      <family val="0"/>
      <charset val="1"/>
    </font>
    <font>
      <b val="true"/>
      <sz val="10"/>
      <color rgb="FFFF0000"/>
      <name val="WenQuanYi Zen Hei"/>
      <family val="2"/>
    </font>
    <font>
      <b val="true"/>
      <sz val="10"/>
      <color rgb="FFFF0000"/>
      <name val="Meiryo"/>
      <family val="0"/>
      <charset val="1"/>
    </font>
    <font>
      <b val="true"/>
      <sz val="12"/>
      <name val="WenQuanYi Zen Hei"/>
      <family val="2"/>
    </font>
    <font>
      <b val="true"/>
      <sz val="12"/>
      <name val="Meiryo"/>
      <family val="0"/>
      <charset val="1"/>
    </font>
    <font>
      <sz val="9"/>
      <name val="WenQuanYi Zen Hei"/>
      <family val="2"/>
    </font>
    <font>
      <sz val="9"/>
      <name val="Meiryo"/>
      <family val="0"/>
      <charset val="1"/>
    </font>
    <font>
      <b val="true"/>
      <sz val="16"/>
      <name val="WenQuanYi Zen Hei"/>
      <family val="2"/>
    </font>
  </fonts>
  <fills count="6">
    <fill>
      <patternFill patternType="none"/>
    </fill>
    <fill>
      <patternFill patternType="gray125"/>
    </fill>
    <fill>
      <patternFill patternType="solid">
        <fgColor rgb="FFF2F2F2"/>
        <bgColor rgb="FFFFF2CC"/>
      </patternFill>
    </fill>
    <fill>
      <patternFill patternType="solid">
        <fgColor rgb="FFFFFF00"/>
        <bgColor rgb="FFFFFF00"/>
      </patternFill>
    </fill>
    <fill>
      <patternFill patternType="solid">
        <fgColor rgb="FFFFF2CC"/>
        <bgColor rgb="FFF2F2F2"/>
      </patternFill>
    </fill>
    <fill>
      <patternFill patternType="solid">
        <fgColor rgb="FFD9D9D9"/>
        <bgColor rgb="FFF2F2F2"/>
      </patternFill>
    </fill>
  </fills>
  <borders count="7">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right/>
      <top/>
      <bottom style="medium"/>
      <diagonal/>
    </border>
    <border diagonalUp="false" diagonalDown="false">
      <left style="thin">
        <color rgb="FF808080"/>
      </left>
      <right style="thin">
        <color rgb="FF808080"/>
      </right>
      <top style="thin">
        <color rgb="FF808080"/>
      </top>
      <bottom/>
      <diagonal/>
    </border>
    <border diagonalUp="false" diagonalDown="false">
      <left style="thin">
        <color rgb="FF808080"/>
      </left>
      <right style="thin">
        <color rgb="FF808080"/>
      </right>
      <top/>
      <bottom/>
      <diagonal/>
    </border>
    <border diagonalUp="false" diagonalDown="false">
      <left style="thin">
        <color rgb="FF808080"/>
      </left>
      <right style="thin">
        <color rgb="FF808080"/>
      </right>
      <top/>
      <bottom style="thin">
        <color rgb="FF808080"/>
      </bottom>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5" fontId="9" fillId="3" borderId="1" xfId="0" applyFont="true" applyBorder="true" applyAlignment="true" applyProtection="false">
      <alignment horizontal="left" vertical="center" textRotation="0" wrapText="true" indent="0" shrinkToFit="false"/>
      <protection locked="true" hidden="false"/>
    </xf>
    <xf numFmtId="166" fontId="9" fillId="3"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14" fillId="2"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6" fillId="0" borderId="0" xfId="0" applyFont="true" applyBorder="true" applyAlignment="true" applyProtection="false">
      <alignment horizontal="center" vertical="center" textRotation="0" wrapText="true" indent="0" shrinkToFit="false"/>
      <protection locked="true" hidden="false"/>
    </xf>
    <xf numFmtId="164" fontId="17" fillId="0" borderId="2"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4" fontId="19" fillId="0" borderId="3" xfId="0" applyFont="true" applyBorder="true" applyAlignment="true" applyProtection="false">
      <alignment horizontal="left"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false" indent="0" shrinkToFit="false"/>
      <protection locked="true" hidden="false"/>
    </xf>
    <xf numFmtId="164" fontId="21" fillId="0" borderId="4" xfId="0" applyFont="true" applyBorder="true" applyAlignment="true" applyProtection="false">
      <alignment horizontal="left" vertical="center" textRotation="0" wrapText="true" indent="0" shrinkToFit="false"/>
      <protection locked="true" hidden="false"/>
    </xf>
    <xf numFmtId="164" fontId="21" fillId="0" borderId="1" xfId="0" applyFont="true" applyBorder="true" applyAlignment="true" applyProtection="false">
      <alignment horizontal="left" vertical="center" textRotation="0" wrapText="true" indent="0" shrinkToFit="false"/>
      <protection locked="true" hidden="false"/>
    </xf>
    <xf numFmtId="164" fontId="21" fillId="0" borderId="5" xfId="0" applyFont="true" applyBorder="true" applyAlignment="true" applyProtection="false">
      <alignment horizontal="left" vertical="center" textRotation="0" wrapText="true" indent="0" shrinkToFit="false"/>
      <protection locked="true" hidden="false"/>
    </xf>
    <xf numFmtId="164" fontId="22" fillId="4" borderId="6" xfId="0" applyFont="true" applyBorder="true" applyAlignment="true" applyProtection="false">
      <alignment horizontal="center" vertical="center" textRotation="0" wrapText="true" indent="0" shrinkToFit="false"/>
      <protection locked="true" hidden="false"/>
    </xf>
    <xf numFmtId="167" fontId="23" fillId="0" borderId="6" xfId="0" applyFont="true" applyBorder="true" applyAlignment="true" applyProtection="false">
      <alignment horizontal="right"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8" fontId="15"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6" fontId="25" fillId="0" borderId="1" xfId="0" applyFont="true" applyBorder="true" applyAlignment="true" applyProtection="false">
      <alignment horizontal="right"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right" vertical="center" textRotation="0" wrapText="false" indent="0" shrinkToFit="false"/>
      <protection locked="true" hidden="false"/>
    </xf>
    <xf numFmtId="169" fontId="11" fillId="0" borderId="1" xfId="0" applyFont="true" applyBorder="true" applyAlignment="true" applyProtection="false">
      <alignment horizontal="right"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26" fillId="4" borderId="1" xfId="0" applyFont="true" applyBorder="true" applyAlignment="true" applyProtection="false">
      <alignment horizontal="right" vertical="center" textRotation="0" wrapText="false" indent="0" shrinkToFit="false"/>
      <protection locked="true" hidden="false"/>
    </xf>
    <xf numFmtId="169" fontId="27" fillId="4" borderId="6" xfId="0" applyFont="true" applyBorder="true" applyAlignment="true" applyProtection="false">
      <alignment horizontal="righ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28" fillId="0" borderId="1" xfId="0" applyFont="true" applyBorder="true" applyAlignment="true" applyProtection="false">
      <alignment horizontal="left" vertical="top" textRotation="0" wrapText="true" indent="0" shrinkToFit="false"/>
      <protection locked="true" hidden="false"/>
    </xf>
    <xf numFmtId="169" fontId="23" fillId="0" borderId="6" xfId="0" applyFont="true" applyBorder="true" applyAlignment="true" applyProtection="false">
      <alignment horizontal="right" vertical="center" textRotation="0" wrapText="false" indent="0" shrinkToFit="false"/>
      <protection locked="true" hidden="false"/>
    </xf>
    <xf numFmtId="168" fontId="9" fillId="3"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6" fontId="18" fillId="0" borderId="1" xfId="0" applyFont="true" applyBorder="true" applyAlignment="true" applyProtection="false">
      <alignment horizontal="right" vertical="center" textRotation="0" wrapText="false" indent="0" shrinkToFit="false"/>
      <protection locked="true" hidden="false"/>
    </xf>
    <xf numFmtId="164" fontId="30" fillId="0" borderId="0" xfId="0" applyFont="true" applyBorder="true" applyAlignment="true" applyProtection="false">
      <alignment horizontal="left" vertical="center" textRotation="0" wrapText="true" indent="0" shrinkToFit="false"/>
      <protection locked="true" hidden="false"/>
    </xf>
    <xf numFmtId="166" fontId="9" fillId="3" borderId="1" xfId="0" applyFont="true" applyBorder="true" applyAlignment="true" applyProtection="false">
      <alignment horizontal="right" vertical="center" textRotation="0" wrapText="false" indent="0" shrinkToFit="false"/>
      <protection locked="true" hidden="false"/>
    </xf>
    <xf numFmtId="164" fontId="28" fillId="0" borderId="1" xfId="0" applyFont="true" applyBorder="true" applyAlignment="true" applyProtection="false">
      <alignment horizontal="left" vertical="center" textRotation="0" wrapText="true" indent="0" shrinkToFit="false"/>
      <protection locked="true" hidden="false"/>
    </xf>
    <xf numFmtId="164" fontId="29"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right" vertical="center" textRotation="0" wrapText="false" indent="0" shrinkToFit="false"/>
      <protection locked="true" hidden="false"/>
    </xf>
    <xf numFmtId="164" fontId="28"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26"/>
    <col collapsed="false" customWidth="true" hidden="false" outlineLevel="0" max="3" min="3" style="0" width="52"/>
    <col collapsed="false" customWidth="true" hidden="false" outlineLevel="0" max="4" min="4" style="0" width="4"/>
    <col collapsed="false" customWidth="true" hidden="false" outlineLevel="0" max="5" min="5" style="0" width="60"/>
  </cols>
  <sheetData>
    <row r="2" customFormat="false" ht="19.4" hidden="false" customHeight="true" outlineLevel="0" collapsed="false">
      <c r="B2" s="1" t="s">
        <v>0</v>
      </c>
      <c r="C2" s="1"/>
    </row>
    <row r="3" customFormat="false" ht="15" hidden="false" customHeight="true" outlineLevel="0" collapsed="false">
      <c r="B3" s="2" t="s">
        <v>1</v>
      </c>
      <c r="C3" s="2"/>
    </row>
    <row r="5" customFormat="false" ht="15" hidden="false" customHeight="false" outlineLevel="0" collapsed="false">
      <c r="B5" s="3" t="s">
        <v>2</v>
      </c>
    </row>
    <row r="6" customFormat="false" ht="15" hidden="false" customHeight="false" outlineLevel="0" collapsed="false">
      <c r="B6" s="4" t="s">
        <v>3</v>
      </c>
      <c r="C6" s="5" t="s">
        <v>4</v>
      </c>
      <c r="E6" s="6" t="s">
        <v>5</v>
      </c>
    </row>
    <row r="7" customFormat="false" ht="15" hidden="false" customHeight="false" outlineLevel="0" collapsed="false">
      <c r="B7" s="4" t="s">
        <v>6</v>
      </c>
      <c r="C7" s="5" t="s">
        <v>7</v>
      </c>
      <c r="E7" s="6" t="s">
        <v>8</v>
      </c>
    </row>
    <row r="8" customFormat="false" ht="15" hidden="false" customHeight="false" outlineLevel="0" collapsed="false">
      <c r="B8" s="4" t="s">
        <v>9</v>
      </c>
      <c r="C8" s="7" t="s">
        <v>10</v>
      </c>
    </row>
    <row r="9" customFormat="false" ht="15" hidden="false" customHeight="false" outlineLevel="0" collapsed="false">
      <c r="B9" s="4" t="s">
        <v>11</v>
      </c>
      <c r="C9" s="5" t="s">
        <v>12</v>
      </c>
    </row>
    <row r="10" customFormat="false" ht="15" hidden="false" customHeight="false" outlineLevel="0" collapsed="false">
      <c r="B10" s="4" t="s">
        <v>13</v>
      </c>
      <c r="C10" s="5" t="s">
        <v>14</v>
      </c>
    </row>
    <row r="11" customFormat="false" ht="15" hidden="false" customHeight="false" outlineLevel="0" collapsed="false">
      <c r="B11" s="4" t="s">
        <v>15</v>
      </c>
      <c r="C11" s="5" t="s">
        <v>16</v>
      </c>
      <c r="E11" s="6" t="s">
        <v>17</v>
      </c>
    </row>
    <row r="13" customFormat="false" ht="15" hidden="false" customHeight="false" outlineLevel="0" collapsed="false">
      <c r="B13" s="3" t="s">
        <v>18</v>
      </c>
    </row>
    <row r="14" customFormat="false" ht="15" hidden="false" customHeight="false" outlineLevel="0" collapsed="false">
      <c r="B14" s="4" t="s">
        <v>19</v>
      </c>
      <c r="C14" s="5" t="s">
        <v>20</v>
      </c>
      <c r="E14" s="6" t="s">
        <v>21</v>
      </c>
    </row>
    <row r="15" customFormat="false" ht="15" hidden="false" customHeight="false" outlineLevel="0" collapsed="false">
      <c r="B15" s="4" t="s">
        <v>22</v>
      </c>
      <c r="C15" s="5" t="s">
        <v>23</v>
      </c>
      <c r="E15" s="6" t="s">
        <v>24</v>
      </c>
    </row>
    <row r="16" customFormat="false" ht="15" hidden="false" customHeight="false" outlineLevel="0" collapsed="false">
      <c r="B16" s="4" t="s">
        <v>25</v>
      </c>
      <c r="C16" s="7" t="s">
        <v>26</v>
      </c>
    </row>
    <row r="17" customFormat="false" ht="15" hidden="false" customHeight="false" outlineLevel="0" collapsed="false">
      <c r="B17" s="4" t="s">
        <v>27</v>
      </c>
      <c r="C17" s="7" t="s">
        <v>28</v>
      </c>
      <c r="E17" s="6" t="s">
        <v>29</v>
      </c>
    </row>
    <row r="18" customFormat="false" ht="15" hidden="false" customHeight="false" outlineLevel="0" collapsed="false">
      <c r="B18" s="4" t="s">
        <v>30</v>
      </c>
      <c r="C18" s="5" t="s">
        <v>31</v>
      </c>
    </row>
    <row r="19" customFormat="false" ht="15" hidden="false" customHeight="false" outlineLevel="0" collapsed="false">
      <c r="B19" s="4" t="s">
        <v>32</v>
      </c>
      <c r="C19" s="5" t="s">
        <v>33</v>
      </c>
    </row>
    <row r="21" customFormat="false" ht="15" hidden="false" customHeight="false" outlineLevel="0" collapsed="false">
      <c r="B21" s="3" t="s">
        <v>34</v>
      </c>
    </row>
    <row r="22" customFormat="false" ht="15" hidden="false" customHeight="false" outlineLevel="0" collapsed="false">
      <c r="B22" s="4" t="s">
        <v>35</v>
      </c>
      <c r="C22" s="8" t="n">
        <v>0.1</v>
      </c>
      <c r="E22" s="6" t="s">
        <v>36</v>
      </c>
    </row>
    <row r="23" customFormat="false" ht="15" hidden="false" customHeight="false" outlineLevel="0" collapsed="false">
      <c r="B23" s="4" t="s">
        <v>37</v>
      </c>
      <c r="C23" s="9" t="n">
        <v>250000</v>
      </c>
      <c r="E23" s="6" t="s">
        <v>38</v>
      </c>
    </row>
    <row r="25" customFormat="false" ht="15" hidden="false" customHeight="true" outlineLevel="0" collapsed="false">
      <c r="B25" s="10" t="s">
        <v>39</v>
      </c>
      <c r="C25" s="10"/>
    </row>
    <row r="26" customFormat="false" ht="15" hidden="false" customHeight="false" outlineLevel="0" collapsed="false">
      <c r="B26" s="11" t="s">
        <v>40</v>
      </c>
      <c r="C26" s="12" t="s">
        <v>41</v>
      </c>
    </row>
    <row r="27" customFormat="false" ht="15" hidden="false" customHeight="false" outlineLevel="0" collapsed="false">
      <c r="B27" s="13" t="s">
        <v>42</v>
      </c>
      <c r="C27" s="12" t="s">
        <v>43</v>
      </c>
    </row>
    <row r="28" customFormat="false" ht="15" hidden="false" customHeight="false" outlineLevel="0" collapsed="false">
      <c r="B28" s="14" t="s">
        <v>44</v>
      </c>
      <c r="C28" s="12" t="s">
        <v>45</v>
      </c>
    </row>
    <row r="29" customFormat="false" ht="15" hidden="false" customHeight="false" outlineLevel="0" collapsed="false">
      <c r="B29" s="4" t="s">
        <v>46</v>
      </c>
      <c r="C29" s="12" t="s">
        <v>47</v>
      </c>
    </row>
    <row r="31" customFormat="false" ht="15" hidden="false" customHeight="true" outlineLevel="0" collapsed="false">
      <c r="B31" s="10" t="s">
        <v>48</v>
      </c>
      <c r="C31" s="10"/>
    </row>
    <row r="32" customFormat="false" ht="15" hidden="false" customHeight="true" outlineLevel="0" collapsed="false">
      <c r="B32" s="15" t="s">
        <v>49</v>
      </c>
      <c r="C32" s="15"/>
    </row>
    <row r="33" customFormat="false" ht="15" hidden="false" customHeight="true" outlineLevel="0" collapsed="false">
      <c r="B33" s="15" t="s">
        <v>50</v>
      </c>
      <c r="C33" s="15"/>
    </row>
    <row r="34" customFormat="false" ht="15" hidden="false" customHeight="true" outlineLevel="0" collapsed="false">
      <c r="B34" s="15" t="s">
        <v>51</v>
      </c>
      <c r="C34" s="15"/>
    </row>
    <row r="35" customFormat="false" ht="15" hidden="false" customHeight="true" outlineLevel="0" collapsed="false">
      <c r="B35" s="15" t="s">
        <v>52</v>
      </c>
      <c r="C35" s="15"/>
    </row>
  </sheetData>
  <mergeCells count="8">
    <mergeCell ref="B2:C2"/>
    <mergeCell ref="B3:C3"/>
    <mergeCell ref="B25:C25"/>
    <mergeCell ref="B31:C31"/>
    <mergeCell ref="B32:C32"/>
    <mergeCell ref="B33:C33"/>
    <mergeCell ref="B34:C34"/>
    <mergeCell ref="B35:C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8"/>
    <col collapsed="false" customWidth="true" hidden="false" outlineLevel="0" max="3" min="3" style="0" width="41"/>
    <col collapsed="false" customWidth="true" hidden="false" outlineLevel="0" max="5" min="4" style="0" width="8"/>
    <col collapsed="false" customWidth="true" hidden="false" outlineLevel="0" max="6" min="6" style="0" width="14"/>
    <col collapsed="false" customWidth="true" hidden="false" outlineLevel="0" max="7" min="7" style="0" width="16"/>
  </cols>
  <sheetData>
    <row r="2" customFormat="false" ht="33.75" hidden="false" customHeight="true" outlineLevel="0" collapsed="false">
      <c r="B2" s="16" t="s">
        <v>53</v>
      </c>
      <c r="C2" s="16"/>
      <c r="D2" s="16"/>
      <c r="E2" s="16"/>
      <c r="F2" s="16"/>
      <c r="G2" s="16"/>
    </row>
    <row r="4" customFormat="false" ht="24" hidden="false" customHeight="true" outlineLevel="0" collapsed="false">
      <c r="B4" s="17" t="str">
        <f aca="false">基本設定!$C$14&amp;"　"&amp;基本設定!$C$15</f>
        <v>〇〇〇〇　御中</v>
      </c>
      <c r="C4" s="17"/>
      <c r="D4" s="17"/>
      <c r="F4" s="18" t="s">
        <v>25</v>
      </c>
      <c r="G4" s="19" t="str">
        <f aca="false">基本設定!$C$16</f>
        <v>2026年8月23日</v>
      </c>
    </row>
    <row r="5" customFormat="false" ht="15" hidden="false" customHeight="false" outlineLevel="0" collapsed="false">
      <c r="F5" s="18" t="s">
        <v>27</v>
      </c>
      <c r="G5" s="19" t="str">
        <f aca="false">基本設定!$C$17</f>
        <v>MG-2026-0001</v>
      </c>
    </row>
    <row r="6" customFormat="false" ht="15" hidden="false" customHeight="true" outlineLevel="0" collapsed="false">
      <c r="B6" s="15" t="s">
        <v>54</v>
      </c>
      <c r="C6" s="15"/>
      <c r="D6" s="15"/>
    </row>
    <row r="7" customFormat="false" ht="16.4" hidden="false" customHeight="false" outlineLevel="0" collapsed="false">
      <c r="E7" s="20" t="str">
        <f aca="false">基本設定!$C$6</f>
        <v>【会社名】</v>
      </c>
      <c r="F7" s="20"/>
      <c r="G7" s="20"/>
    </row>
    <row r="8" customFormat="false" ht="15" hidden="false" customHeight="true" outlineLevel="0" collapsed="false">
      <c r="B8" s="21" t="s">
        <v>55</v>
      </c>
      <c r="C8" s="12" t="s">
        <v>56</v>
      </c>
      <c r="D8" s="12"/>
      <c r="E8" s="22" t="str">
        <f aca="false">基本設定!$C$7</f>
        <v>〒000-0000 【住所】</v>
      </c>
      <c r="F8" s="22"/>
      <c r="G8" s="22"/>
    </row>
    <row r="9" customFormat="false" ht="15" hidden="false" customHeight="false" outlineLevel="0" collapsed="false">
      <c r="B9" s="21" t="s">
        <v>57</v>
      </c>
      <c r="C9" s="23" t="str">
        <f aca="false">基本設定!$C$18</f>
        <v>発行日より30日間</v>
      </c>
      <c r="D9" s="23"/>
      <c r="E9" s="22" t="str">
        <f aca="false">"TEL："&amp;基本設定!$C$8</f>
        <v>TEL：000-0000-0000</v>
      </c>
      <c r="F9" s="22"/>
      <c r="G9" s="22"/>
    </row>
    <row r="10" customFormat="false" ht="15" hidden="false" customHeight="false" outlineLevel="0" collapsed="false">
      <c r="B10" s="21" t="s">
        <v>58</v>
      </c>
      <c r="C10" s="23" t="str">
        <f aca="false">基本設定!$C$19</f>
        <v>ご発注後 約4〜6週間（ヒアリング完了より起算）</v>
      </c>
      <c r="D10" s="23"/>
      <c r="E10" s="22" t="str">
        <f aca="false">"Email："&amp;基本設定!$C$9</f>
        <v>Email：【メールアドレス】</v>
      </c>
      <c r="F10" s="22"/>
      <c r="G10" s="22"/>
    </row>
    <row r="11" customFormat="false" ht="15" hidden="false" customHeight="true" outlineLevel="0" collapsed="false">
      <c r="B11" s="21" t="s">
        <v>59</v>
      </c>
      <c r="C11" s="12" t="s">
        <v>60</v>
      </c>
      <c r="D11" s="12"/>
      <c r="E11" s="24" t="str">
        <f aca="false">"担当："&amp;基本設定!$C$10</f>
        <v>担当：【担当者名】</v>
      </c>
      <c r="F11" s="24"/>
      <c r="G11" s="24"/>
    </row>
    <row r="13" customFormat="false" ht="33.75" hidden="false" customHeight="true" outlineLevel="0" collapsed="false">
      <c r="B13" s="25" t="s">
        <v>61</v>
      </c>
      <c r="C13" s="25"/>
      <c r="D13" s="25"/>
      <c r="E13" s="26" t="n">
        <f aca="false">G26</f>
        <v>0</v>
      </c>
      <c r="F13" s="26"/>
      <c r="G13" s="26"/>
    </row>
    <row r="15" customFormat="false" ht="21.75" hidden="false" customHeight="true" outlineLevel="0" collapsed="false">
      <c r="B15" s="27" t="s">
        <v>62</v>
      </c>
      <c r="C15" s="28" t="s">
        <v>63</v>
      </c>
      <c r="D15" s="28" t="s">
        <v>64</v>
      </c>
      <c r="E15" s="28" t="s">
        <v>65</v>
      </c>
      <c r="F15" s="28" t="s">
        <v>66</v>
      </c>
      <c r="G15" s="28" t="s">
        <v>67</v>
      </c>
    </row>
    <row r="16" customFormat="false" ht="19.5" hidden="false" customHeight="true" outlineLevel="0" collapsed="false">
      <c r="B16" s="29" t="n">
        <v>1</v>
      </c>
      <c r="C16" s="12" t="s">
        <v>68</v>
      </c>
      <c r="D16" s="30" t="n">
        <v>1</v>
      </c>
      <c r="E16" s="31" t="s">
        <v>69</v>
      </c>
      <c r="F16" s="32" t="n">
        <v>40000</v>
      </c>
      <c r="G16" s="32" t="n">
        <f aca="false">D16*F16</f>
        <v>40000</v>
      </c>
    </row>
    <row r="17" customFormat="false" ht="30" hidden="false" customHeight="true" outlineLevel="0" collapsed="false">
      <c r="B17" s="31" t="n">
        <v>2</v>
      </c>
      <c r="C17" s="12" t="s">
        <v>70</v>
      </c>
      <c r="D17" s="30" t="n">
        <v>4</v>
      </c>
      <c r="E17" s="31" t="s">
        <v>71</v>
      </c>
      <c r="F17" s="32" t="n">
        <v>15000</v>
      </c>
      <c r="G17" s="32" t="n">
        <f aca="false">D17*F17</f>
        <v>60000</v>
      </c>
    </row>
    <row r="18" customFormat="false" ht="30" hidden="false" customHeight="true" outlineLevel="0" collapsed="false">
      <c r="B18" s="31" t="n">
        <v>3</v>
      </c>
      <c r="C18" s="12" t="s">
        <v>72</v>
      </c>
      <c r="D18" s="30" t="n">
        <v>4</v>
      </c>
      <c r="E18" s="31" t="s">
        <v>71</v>
      </c>
      <c r="F18" s="32" t="n">
        <v>25000</v>
      </c>
      <c r="G18" s="32" t="n">
        <f aca="false">D18*F18</f>
        <v>100000</v>
      </c>
    </row>
    <row r="19" customFormat="false" ht="19.5" hidden="false" customHeight="true" outlineLevel="0" collapsed="false">
      <c r="B19" s="31" t="n">
        <v>4</v>
      </c>
      <c r="C19" s="12" t="s">
        <v>73</v>
      </c>
      <c r="D19" s="30" t="n">
        <v>1</v>
      </c>
      <c r="E19" s="31" t="s">
        <v>74</v>
      </c>
      <c r="F19" s="32" t="n">
        <v>25000</v>
      </c>
      <c r="G19" s="32" t="n">
        <f aca="false">D19*F19</f>
        <v>25000</v>
      </c>
    </row>
    <row r="20" customFormat="false" ht="19.5" hidden="false" customHeight="true" outlineLevel="0" collapsed="false">
      <c r="B20" s="31" t="n">
        <v>5</v>
      </c>
      <c r="C20" s="12" t="s">
        <v>75</v>
      </c>
      <c r="D20" s="30" t="n">
        <v>1</v>
      </c>
      <c r="E20" s="31" t="s">
        <v>69</v>
      </c>
      <c r="F20" s="32" t="n">
        <v>15000</v>
      </c>
      <c r="G20" s="32" t="n">
        <f aca="false">D20*F20</f>
        <v>15000</v>
      </c>
    </row>
    <row r="21" customFormat="false" ht="30" hidden="false" customHeight="true" outlineLevel="0" collapsed="false">
      <c r="B21" s="31" t="n">
        <v>6</v>
      </c>
      <c r="C21" s="12" t="s">
        <v>76</v>
      </c>
      <c r="D21" s="30" t="n">
        <v>1</v>
      </c>
      <c r="E21" s="31" t="s">
        <v>69</v>
      </c>
      <c r="F21" s="32" t="n">
        <v>5000</v>
      </c>
      <c r="G21" s="32" t="n">
        <f aca="false">D21*F21</f>
        <v>5000</v>
      </c>
    </row>
    <row r="22" customFormat="false" ht="19.5" hidden="false" customHeight="true" outlineLevel="0" collapsed="false">
      <c r="B22" s="31" t="n">
        <v>7</v>
      </c>
      <c r="C22" s="12" t="s">
        <v>77</v>
      </c>
      <c r="D22" s="30" t="n">
        <v>1</v>
      </c>
      <c r="E22" s="31" t="s">
        <v>78</v>
      </c>
      <c r="F22" s="32" t="n">
        <v>5000</v>
      </c>
      <c r="G22" s="32" t="n">
        <f aca="false">D22*F22</f>
        <v>5000</v>
      </c>
    </row>
    <row r="23" customFormat="false" ht="30" hidden="false" customHeight="true" outlineLevel="0" collapsed="false">
      <c r="B23" s="33" t="n">
        <v>8</v>
      </c>
      <c r="C23" s="34" t="s">
        <v>79</v>
      </c>
      <c r="D23" s="31" t="n">
        <v>1</v>
      </c>
      <c r="E23" s="31" t="s">
        <v>69</v>
      </c>
      <c r="F23" s="35" t="n">
        <f aca="false">-SUM(G16:G22)</f>
        <v>-250000</v>
      </c>
      <c r="G23" s="35" t="n">
        <f aca="false">D23*F23</f>
        <v>-250000</v>
      </c>
    </row>
    <row r="24" customFormat="false" ht="21.75" hidden="false" customHeight="true" outlineLevel="0" collapsed="false">
      <c r="B24" s="36"/>
      <c r="C24" s="37" t="s">
        <v>80</v>
      </c>
      <c r="D24" s="37"/>
      <c r="E24" s="37"/>
      <c r="F24" s="37"/>
      <c r="G24" s="38" t="n">
        <f aca="false">SUM(G16:G23)</f>
        <v>0</v>
      </c>
    </row>
    <row r="25" customFormat="false" ht="21.75" hidden="false" customHeight="true" outlineLevel="0" collapsed="false">
      <c r="B25" s="36"/>
      <c r="C25" s="37" t="str">
        <f aca="false">"消費税（"&amp;TEXT(基本設定!$C$22,"0%")&amp;"）"</f>
        <v>消費税（10%）</v>
      </c>
      <c r="D25" s="37"/>
      <c r="E25" s="37"/>
      <c r="F25" s="37"/>
      <c r="G25" s="38" t="n">
        <f aca="false">ROUND(G24*基本設定!$C$22,0)</f>
        <v>0</v>
      </c>
    </row>
    <row r="26" customFormat="false" ht="25.5" hidden="false" customHeight="true" outlineLevel="0" collapsed="false">
      <c r="B26" s="39"/>
      <c r="C26" s="40" t="s">
        <v>81</v>
      </c>
      <c r="D26" s="40"/>
      <c r="E26" s="40"/>
      <c r="F26" s="40"/>
      <c r="G26" s="41" t="n">
        <f aca="false">G24+G25</f>
        <v>0</v>
      </c>
    </row>
    <row r="28" customFormat="false" ht="15" hidden="false" customHeight="true" outlineLevel="0" collapsed="false">
      <c r="B28" s="42" t="s">
        <v>82</v>
      </c>
      <c r="C28" s="42"/>
      <c r="D28" s="42"/>
      <c r="E28" s="42"/>
      <c r="F28" s="42"/>
      <c r="G28" s="42"/>
    </row>
    <row r="29" customFormat="false" ht="15" hidden="false" customHeight="true" outlineLevel="0" collapsed="false">
      <c r="B29" s="43" t="s">
        <v>83</v>
      </c>
      <c r="C29" s="43"/>
      <c r="D29" s="43"/>
      <c r="E29" s="43"/>
      <c r="F29" s="43"/>
      <c r="G29" s="43"/>
    </row>
    <row r="30" customFormat="false" ht="24.75" hidden="false" customHeight="true" outlineLevel="0" collapsed="false">
      <c r="B30" s="43" t="s">
        <v>84</v>
      </c>
      <c r="C30" s="43"/>
      <c r="D30" s="43"/>
      <c r="E30" s="43"/>
      <c r="F30" s="43"/>
      <c r="G30" s="43"/>
    </row>
    <row r="31" customFormat="false" ht="15" hidden="false" customHeight="true" outlineLevel="0" collapsed="false">
      <c r="B31" s="43" t="s">
        <v>85</v>
      </c>
      <c r="C31" s="43"/>
      <c r="D31" s="43"/>
      <c r="E31" s="43"/>
      <c r="F31" s="43"/>
      <c r="G31" s="43"/>
    </row>
    <row r="32" customFormat="false" ht="24.75" hidden="false" customHeight="true" outlineLevel="0" collapsed="false">
      <c r="B32" s="43" t="s">
        <v>86</v>
      </c>
      <c r="C32" s="43"/>
      <c r="D32" s="43"/>
      <c r="E32" s="43"/>
      <c r="F32" s="43"/>
      <c r="G32" s="43"/>
    </row>
    <row r="33" customFormat="false" ht="15" hidden="false" customHeight="true" outlineLevel="0" collapsed="false">
      <c r="B33" s="43" t="s">
        <v>87</v>
      </c>
      <c r="C33" s="43"/>
      <c r="D33" s="43"/>
      <c r="E33" s="43"/>
      <c r="F33" s="43"/>
      <c r="G33" s="43"/>
    </row>
    <row r="34" customFormat="false" ht="24.75" hidden="false" customHeight="true" outlineLevel="0" collapsed="false">
      <c r="B34" s="43" t="str">
        <f aca="false">"※上記条件が履行されない場合、通常価格 "&amp;TEXT(基本設定!$C$23,"¥#,##0")&amp;"（税別）を申し受ける場合がございます。"</f>
        <v>※上記条件が履行されない場合、通常価格 ¥250,000（税別）を申し受ける場合がございます。</v>
      </c>
      <c r="C34" s="43"/>
      <c r="D34" s="43"/>
      <c r="E34" s="43"/>
      <c r="F34" s="43"/>
      <c r="G34" s="43"/>
    </row>
    <row r="35" customFormat="false" ht="24.75" hidden="false" customHeight="true" outlineLevel="0" collapsed="false">
      <c r="B35" s="43" t="s">
        <v>88</v>
      </c>
      <c r="C35" s="43"/>
      <c r="D35" s="43"/>
      <c r="E35" s="43"/>
      <c r="F35" s="43"/>
      <c r="G35" s="43"/>
    </row>
    <row r="36" customFormat="false" ht="24.75" hidden="false" customHeight="true" outlineLevel="0" collapsed="false">
      <c r="B36" s="43" t="s">
        <v>89</v>
      </c>
      <c r="C36" s="43"/>
      <c r="D36" s="43"/>
      <c r="E36" s="43"/>
      <c r="F36" s="43"/>
      <c r="G36" s="43"/>
    </row>
    <row r="37" customFormat="false" ht="24.75" hidden="false" customHeight="true" outlineLevel="0" collapsed="false">
      <c r="B37" s="43" t="s">
        <v>90</v>
      </c>
      <c r="C37" s="43"/>
      <c r="D37" s="43"/>
      <c r="E37" s="43"/>
      <c r="F37" s="43"/>
      <c r="G37" s="43"/>
    </row>
    <row r="38" customFormat="false" ht="24.75" hidden="false" customHeight="true" outlineLevel="0" collapsed="false">
      <c r="B38" s="43" t="s">
        <v>91</v>
      </c>
      <c r="C38" s="43"/>
      <c r="D38" s="43"/>
      <c r="E38" s="43"/>
      <c r="F38" s="43"/>
      <c r="G38" s="43"/>
    </row>
    <row r="39" customFormat="false" ht="24.75" hidden="false" customHeight="true" outlineLevel="0" collapsed="false">
      <c r="B39" s="43" t="s">
        <v>92</v>
      </c>
      <c r="C39" s="43"/>
      <c r="D39" s="43"/>
      <c r="E39" s="43"/>
      <c r="F39" s="43"/>
      <c r="G39" s="43"/>
    </row>
    <row r="40" customFormat="false" ht="24.75" hidden="false" customHeight="true" outlineLevel="0" collapsed="false">
      <c r="B40" s="43" t="s">
        <v>93</v>
      </c>
      <c r="C40" s="43"/>
      <c r="D40" s="43"/>
      <c r="E40" s="43"/>
      <c r="F40" s="43"/>
      <c r="G40" s="43"/>
    </row>
    <row r="41" customFormat="false" ht="24.75" hidden="false" customHeight="true" outlineLevel="0" collapsed="false">
      <c r="B41" s="43" t="s">
        <v>94</v>
      </c>
      <c r="C41" s="43"/>
      <c r="D41" s="43"/>
      <c r="E41" s="43"/>
      <c r="F41" s="43"/>
      <c r="G41" s="43"/>
    </row>
    <row r="42" customFormat="false" ht="15" hidden="false" customHeight="true" outlineLevel="0" collapsed="false">
      <c r="B42" s="43" t="s">
        <v>95</v>
      </c>
      <c r="C42" s="43"/>
      <c r="D42" s="43"/>
      <c r="E42" s="43"/>
      <c r="F42" s="43"/>
      <c r="G42" s="43"/>
    </row>
    <row r="43" customFormat="false" ht="24.75" hidden="false" customHeight="true" outlineLevel="0" collapsed="false">
      <c r="B43" s="43" t="s">
        <v>96</v>
      </c>
      <c r="C43" s="43"/>
      <c r="D43" s="43"/>
      <c r="E43" s="43"/>
      <c r="F43" s="43"/>
      <c r="G43" s="43"/>
    </row>
  </sheetData>
  <mergeCells count="33">
    <mergeCell ref="B2:G2"/>
    <mergeCell ref="B4:D4"/>
    <mergeCell ref="B6:D6"/>
    <mergeCell ref="E7:G7"/>
    <mergeCell ref="C8:D8"/>
    <mergeCell ref="E8:G8"/>
    <mergeCell ref="C9:D9"/>
    <mergeCell ref="E9:G9"/>
    <mergeCell ref="C10:D10"/>
    <mergeCell ref="E10:G10"/>
    <mergeCell ref="C11:D11"/>
    <mergeCell ref="E11:G11"/>
    <mergeCell ref="B13:D13"/>
    <mergeCell ref="E13:G13"/>
    <mergeCell ref="C24:F24"/>
    <mergeCell ref="C25:F25"/>
    <mergeCell ref="C26:F26"/>
    <mergeCell ref="B28:G28"/>
    <mergeCell ref="B29:G29"/>
    <mergeCell ref="B30:G30"/>
    <mergeCell ref="B31:G31"/>
    <mergeCell ref="B32:G32"/>
    <mergeCell ref="B33:G33"/>
    <mergeCell ref="B34:G34"/>
    <mergeCell ref="B35:G35"/>
    <mergeCell ref="B36:G36"/>
    <mergeCell ref="B37:G37"/>
    <mergeCell ref="B38:G38"/>
    <mergeCell ref="B39:G39"/>
    <mergeCell ref="B40:G40"/>
    <mergeCell ref="B41:G41"/>
    <mergeCell ref="B42:G42"/>
    <mergeCell ref="B43:G43"/>
  </mergeCells>
  <printOptions headings="false" gridLines="false" gridLinesSet="true" horizontalCentered="false" verticalCentered="false"/>
  <pageMargins left="0.5" right="0.5"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8"/>
    <col collapsed="false" customWidth="true" hidden="false" outlineLevel="0" max="3" min="3" style="0" width="41"/>
    <col collapsed="false" customWidth="true" hidden="false" outlineLevel="0" max="5" min="4" style="0" width="8"/>
    <col collapsed="false" customWidth="true" hidden="false" outlineLevel="0" max="6" min="6" style="0" width="14"/>
    <col collapsed="false" customWidth="true" hidden="false" outlineLevel="0" max="7" min="7" style="0" width="16"/>
  </cols>
  <sheetData>
    <row r="2" customFormat="false" ht="33.75" hidden="false" customHeight="true" outlineLevel="0" collapsed="false">
      <c r="B2" s="16" t="s">
        <v>53</v>
      </c>
      <c r="C2" s="16"/>
      <c r="D2" s="16"/>
      <c r="E2" s="16"/>
      <c r="F2" s="16"/>
      <c r="G2" s="16"/>
    </row>
    <row r="4" customFormat="false" ht="24" hidden="false" customHeight="true" outlineLevel="0" collapsed="false">
      <c r="B4" s="17" t="str">
        <f aca="false">基本設定!$C$14&amp;"　"&amp;基本設定!$C$15</f>
        <v>〇〇〇〇　御中</v>
      </c>
      <c r="C4" s="17"/>
      <c r="D4" s="17"/>
      <c r="F4" s="18" t="s">
        <v>25</v>
      </c>
      <c r="G4" s="19" t="str">
        <f aca="false">基本設定!$C$16</f>
        <v>2026年8月23日</v>
      </c>
    </row>
    <row r="5" customFormat="false" ht="15" hidden="false" customHeight="false" outlineLevel="0" collapsed="false">
      <c r="F5" s="18" t="s">
        <v>27</v>
      </c>
      <c r="G5" s="19" t="str">
        <f aca="false">基本設定!$C$17</f>
        <v>MG-2026-0001</v>
      </c>
    </row>
    <row r="6" customFormat="false" ht="15" hidden="false" customHeight="true" outlineLevel="0" collapsed="false">
      <c r="B6" s="15" t="s">
        <v>54</v>
      </c>
      <c r="C6" s="15"/>
      <c r="D6" s="15"/>
    </row>
    <row r="7" customFormat="false" ht="16.4" hidden="false" customHeight="false" outlineLevel="0" collapsed="false">
      <c r="E7" s="20" t="str">
        <f aca="false">基本設定!$C$6</f>
        <v>【会社名】</v>
      </c>
      <c r="F7" s="20"/>
      <c r="G7" s="20"/>
    </row>
    <row r="8" customFormat="false" ht="15" hidden="false" customHeight="true" outlineLevel="0" collapsed="false">
      <c r="B8" s="21" t="s">
        <v>55</v>
      </c>
      <c r="C8" s="12" t="s">
        <v>97</v>
      </c>
      <c r="D8" s="12"/>
      <c r="E8" s="22" t="str">
        <f aca="false">基本設定!$C$7</f>
        <v>〒000-0000 【住所】</v>
      </c>
      <c r="F8" s="22"/>
      <c r="G8" s="22"/>
    </row>
    <row r="9" customFormat="false" ht="15" hidden="false" customHeight="false" outlineLevel="0" collapsed="false">
      <c r="B9" s="21" t="s">
        <v>57</v>
      </c>
      <c r="C9" s="23" t="str">
        <f aca="false">基本設定!$C$18</f>
        <v>発行日より30日間</v>
      </c>
      <c r="D9" s="23"/>
      <c r="E9" s="22" t="str">
        <f aca="false">"TEL："&amp;基本設定!$C$8</f>
        <v>TEL：000-0000-0000</v>
      </c>
      <c r="F9" s="22"/>
      <c r="G9" s="22"/>
    </row>
    <row r="10" customFormat="false" ht="15" hidden="false" customHeight="false" outlineLevel="0" collapsed="false">
      <c r="B10" s="21" t="s">
        <v>58</v>
      </c>
      <c r="C10" s="23" t="str">
        <f aca="false">基本設定!$C$19</f>
        <v>ご発注後 約4〜6週間（ヒアリング完了より起算）</v>
      </c>
      <c r="D10" s="23"/>
      <c r="E10" s="22" t="str">
        <f aca="false">"Email："&amp;基本設定!$C$9</f>
        <v>Email：【メールアドレス】</v>
      </c>
      <c r="F10" s="22"/>
      <c r="G10" s="22"/>
    </row>
    <row r="11" customFormat="false" ht="15" hidden="false" customHeight="true" outlineLevel="0" collapsed="false">
      <c r="B11" s="21" t="s">
        <v>59</v>
      </c>
      <c r="C11" s="12" t="s">
        <v>98</v>
      </c>
      <c r="D11" s="12"/>
      <c r="E11" s="24" t="str">
        <f aca="false">"担当："&amp;基本設定!$C$10</f>
        <v>担当：【担当者名】</v>
      </c>
      <c r="F11" s="24"/>
      <c r="G11" s="24"/>
    </row>
    <row r="13" customFormat="false" ht="33.75" hidden="false" customHeight="true" outlineLevel="0" collapsed="false">
      <c r="B13" s="25" t="s">
        <v>61</v>
      </c>
      <c r="C13" s="25"/>
      <c r="D13" s="25"/>
      <c r="E13" s="44" t="n">
        <f aca="false">G25</f>
        <v>0</v>
      </c>
      <c r="F13" s="44"/>
      <c r="G13" s="44"/>
    </row>
    <row r="15" customFormat="false" ht="21.75" hidden="false" customHeight="true" outlineLevel="0" collapsed="false">
      <c r="B15" s="27" t="s">
        <v>62</v>
      </c>
      <c r="C15" s="28" t="s">
        <v>63</v>
      </c>
      <c r="D15" s="28" t="s">
        <v>64</v>
      </c>
      <c r="E15" s="28" t="s">
        <v>65</v>
      </c>
      <c r="F15" s="28" t="s">
        <v>66</v>
      </c>
      <c r="G15" s="28" t="s">
        <v>67</v>
      </c>
    </row>
    <row r="16" customFormat="false" ht="19.5" hidden="false" customHeight="true" outlineLevel="0" collapsed="false">
      <c r="B16" s="31" t="n">
        <v>1</v>
      </c>
      <c r="C16" s="23" t="str">
        <f aca="false">料金表!$C$4</f>
        <v>社長ショートドラマ 4話＋総集編パッケージ</v>
      </c>
      <c r="D16" s="45" t="n">
        <v>0</v>
      </c>
      <c r="E16" s="46" t="str">
        <f aca="false">料金表!$D$4</f>
        <v>式</v>
      </c>
      <c r="F16" s="47" t="n">
        <f aca="false">料金表!$E$4</f>
        <v>250000</v>
      </c>
      <c r="G16" s="32" t="n">
        <f aca="false">D16*F16</f>
        <v>0</v>
      </c>
    </row>
    <row r="17" customFormat="false" ht="19.5" hidden="false" customHeight="true" outlineLevel="0" collapsed="false">
      <c r="B17" s="31" t="n">
        <v>2</v>
      </c>
      <c r="C17" s="23" t="str">
        <f aca="false">料金表!$C$5</f>
        <v>追加話数の制作</v>
      </c>
      <c r="D17" s="45" t="n">
        <v>0</v>
      </c>
      <c r="E17" s="46" t="str">
        <f aca="false">料金表!$D$5</f>
        <v>話</v>
      </c>
      <c r="F17" s="47" t="n">
        <f aca="false">料金表!$E$5</f>
        <v>50000</v>
      </c>
      <c r="G17" s="32" t="n">
        <f aca="false">D17*F17</f>
        <v>0</v>
      </c>
    </row>
    <row r="18" customFormat="false" ht="19.5" hidden="false" customHeight="true" outlineLevel="0" collapsed="false">
      <c r="B18" s="31" t="n">
        <v>3</v>
      </c>
      <c r="C18" s="23" t="str">
        <f aca="false">料金表!$C$6</f>
        <v>構成・脚本からの作り直し</v>
      </c>
      <c r="D18" s="45" t="n">
        <v>0</v>
      </c>
      <c r="E18" s="46" t="str">
        <f aca="false">料金表!$D$6</f>
        <v>話</v>
      </c>
      <c r="F18" s="47" t="n">
        <f aca="false">料金表!$E$6</f>
        <v>30000</v>
      </c>
      <c r="G18" s="32" t="n">
        <f aca="false">D18*F18</f>
        <v>0</v>
      </c>
    </row>
    <row r="19" customFormat="false" ht="19.5" hidden="false" customHeight="true" outlineLevel="0" collapsed="false">
      <c r="B19" s="31" t="n">
        <v>4</v>
      </c>
      <c r="C19" s="23" t="str">
        <f aca="false">料金表!$C$7</f>
        <v>シーン再生成</v>
      </c>
      <c r="D19" s="45" t="n">
        <v>0</v>
      </c>
      <c r="E19" s="46" t="str">
        <f aca="false">料金表!$D$7</f>
        <v>カット</v>
      </c>
      <c r="F19" s="47" t="n">
        <f aca="false">料金表!$E$7</f>
        <v>5000</v>
      </c>
      <c r="G19" s="32" t="n">
        <f aca="false">D19*F19</f>
        <v>0</v>
      </c>
    </row>
    <row r="20" customFormat="false" ht="19.5" hidden="false" customHeight="true" outlineLevel="0" collapsed="false">
      <c r="B20" s="31" t="n">
        <v>5</v>
      </c>
      <c r="C20" s="23" t="str">
        <f aca="false">料金表!$C$8</f>
        <v>追加修正（軽微修正・2回目以降）</v>
      </c>
      <c r="D20" s="45" t="n">
        <v>0</v>
      </c>
      <c r="E20" s="46" t="str">
        <f aca="false">料金表!$D$8</f>
        <v>回</v>
      </c>
      <c r="F20" s="47" t="n">
        <f aca="false">料金表!$E$8</f>
        <v>10000</v>
      </c>
      <c r="G20" s="32" t="n">
        <f aca="false">D20*F20</f>
        <v>0</v>
      </c>
    </row>
    <row r="21" customFormat="false" ht="19.5" hidden="false" customHeight="true" outlineLevel="0" collapsed="false">
      <c r="B21" s="31" t="n">
        <v>6</v>
      </c>
      <c r="C21" s="23" t="str">
        <f aca="false">料金表!$C$9</f>
        <v>横型・正方形など別比率の書き出し</v>
      </c>
      <c r="D21" s="45" t="n">
        <v>0</v>
      </c>
      <c r="E21" s="46" t="str">
        <f aca="false">料金表!$D$9</f>
        <v>本</v>
      </c>
      <c r="F21" s="47" t="n">
        <f aca="false">料金表!$E$9</f>
        <v>5000</v>
      </c>
      <c r="G21" s="32" t="n">
        <f aca="false">D21*F21</f>
        <v>0</v>
      </c>
    </row>
    <row r="22" customFormat="false" ht="30" hidden="false" customHeight="true" outlineLevel="0" collapsed="false">
      <c r="B22" s="31" t="n">
        <v>7</v>
      </c>
      <c r="C22" s="12" t="s">
        <v>99</v>
      </c>
      <c r="D22" s="45" t="n">
        <v>0</v>
      </c>
      <c r="E22" s="31" t="s">
        <v>69</v>
      </c>
      <c r="F22" s="32" t="n">
        <f aca="false">ROUND(SUM(G16:G21)*0.5,0)</f>
        <v>0</v>
      </c>
      <c r="G22" s="32" t="n">
        <f aca="false">D22*F22</f>
        <v>0</v>
      </c>
    </row>
    <row r="23" customFormat="false" ht="21.75" hidden="false" customHeight="true" outlineLevel="0" collapsed="false">
      <c r="B23" s="36"/>
      <c r="C23" s="37" t="s">
        <v>80</v>
      </c>
      <c r="D23" s="37"/>
      <c r="E23" s="37"/>
      <c r="F23" s="37"/>
      <c r="G23" s="38" t="n">
        <f aca="false">SUM(G16:G22)</f>
        <v>0</v>
      </c>
    </row>
    <row r="24" customFormat="false" ht="21.75" hidden="false" customHeight="true" outlineLevel="0" collapsed="false">
      <c r="B24" s="36"/>
      <c r="C24" s="37" t="str">
        <f aca="false">"消費税（"&amp;TEXT(基本設定!$C$22,"0%")&amp;"）"</f>
        <v>消費税（10%）</v>
      </c>
      <c r="D24" s="37"/>
      <c r="E24" s="37"/>
      <c r="F24" s="37"/>
      <c r="G24" s="38" t="n">
        <f aca="false">ROUND(G23*基本設定!$C$22,0)</f>
        <v>0</v>
      </c>
    </row>
    <row r="25" customFormat="false" ht="25.5" hidden="false" customHeight="true" outlineLevel="0" collapsed="false">
      <c r="B25" s="39"/>
      <c r="C25" s="40" t="s">
        <v>81</v>
      </c>
      <c r="D25" s="40"/>
      <c r="E25" s="40"/>
      <c r="F25" s="40"/>
      <c r="G25" s="41" t="n">
        <f aca="false">G23+G24</f>
        <v>0</v>
      </c>
    </row>
    <row r="27" customFormat="false" ht="15" hidden="false" customHeight="true" outlineLevel="0" collapsed="false">
      <c r="B27" s="42" t="s">
        <v>100</v>
      </c>
      <c r="C27" s="42"/>
      <c r="D27" s="42"/>
      <c r="E27" s="42"/>
      <c r="F27" s="42"/>
      <c r="G27" s="42"/>
    </row>
    <row r="28" customFormat="false" ht="24.75" hidden="false" customHeight="true" outlineLevel="0" collapsed="false">
      <c r="B28" s="43" t="s">
        <v>101</v>
      </c>
      <c r="C28" s="43"/>
      <c r="D28" s="43"/>
      <c r="E28" s="43"/>
      <c r="F28" s="43"/>
      <c r="G28" s="43"/>
    </row>
    <row r="29" customFormat="false" ht="24.75" hidden="false" customHeight="true" outlineLevel="0" collapsed="false">
      <c r="B29" s="43" t="s">
        <v>102</v>
      </c>
      <c r="C29" s="43"/>
      <c r="D29" s="43"/>
      <c r="E29" s="43"/>
      <c r="F29" s="43"/>
      <c r="G29" s="43"/>
    </row>
    <row r="30" customFormat="false" ht="15" hidden="false" customHeight="true" outlineLevel="0" collapsed="false">
      <c r="B30" s="43" t="s">
        <v>103</v>
      </c>
      <c r="C30" s="43"/>
      <c r="D30" s="43"/>
      <c r="E30" s="43"/>
      <c r="F30" s="43"/>
      <c r="G30" s="43"/>
    </row>
    <row r="31" customFormat="false" ht="15" hidden="false" customHeight="true" outlineLevel="0" collapsed="false">
      <c r="B31" s="43"/>
      <c r="C31" s="43"/>
      <c r="D31" s="43"/>
      <c r="E31" s="43"/>
      <c r="F31" s="43"/>
      <c r="G31" s="43"/>
    </row>
    <row r="32" customFormat="false" ht="15" hidden="false" customHeight="true" outlineLevel="0" collapsed="false">
      <c r="B32" s="43" t="s">
        <v>104</v>
      </c>
      <c r="C32" s="43"/>
      <c r="D32" s="43"/>
      <c r="E32" s="43"/>
      <c r="F32" s="43"/>
      <c r="G32" s="43"/>
    </row>
    <row r="33" customFormat="false" ht="15" hidden="false" customHeight="true" outlineLevel="0" collapsed="false">
      <c r="B33" s="43" t="s">
        <v>105</v>
      </c>
      <c r="C33" s="43"/>
      <c r="D33" s="43"/>
      <c r="E33" s="43"/>
      <c r="F33" s="43"/>
      <c r="G33" s="43"/>
    </row>
    <row r="34" customFormat="false" ht="15" hidden="false" customHeight="true" outlineLevel="0" collapsed="false">
      <c r="B34" s="43" t="s">
        <v>106</v>
      </c>
      <c r="C34" s="43"/>
      <c r="D34" s="43"/>
      <c r="E34" s="43"/>
      <c r="F34" s="43"/>
      <c r="G34" s="43"/>
    </row>
    <row r="35" customFormat="false" ht="24.75" hidden="false" customHeight="true" outlineLevel="0" collapsed="false">
      <c r="B35" s="43" t="s">
        <v>107</v>
      </c>
      <c r="C35" s="43"/>
      <c r="D35" s="43"/>
      <c r="E35" s="43"/>
      <c r="F35" s="43"/>
      <c r="G35" s="43"/>
    </row>
    <row r="36" customFormat="false" ht="15" hidden="false" customHeight="true" outlineLevel="0" collapsed="false">
      <c r="B36" s="43"/>
      <c r="C36" s="43"/>
      <c r="D36" s="43"/>
      <c r="E36" s="43"/>
      <c r="F36" s="43"/>
      <c r="G36" s="43"/>
    </row>
    <row r="37" customFormat="false" ht="15" hidden="false" customHeight="true" outlineLevel="0" collapsed="false">
      <c r="B37" s="43" t="s">
        <v>108</v>
      </c>
      <c r="C37" s="43"/>
      <c r="D37" s="43"/>
      <c r="E37" s="43"/>
      <c r="F37" s="43"/>
      <c r="G37" s="43"/>
    </row>
    <row r="38" customFormat="false" ht="15" hidden="false" customHeight="true" outlineLevel="0" collapsed="false">
      <c r="B38" s="43" t="s">
        <v>109</v>
      </c>
      <c r="C38" s="43"/>
      <c r="D38" s="43"/>
      <c r="E38" s="43"/>
      <c r="F38" s="43"/>
      <c r="G38" s="43"/>
    </row>
    <row r="39" customFormat="false" ht="15" hidden="false" customHeight="true" outlineLevel="0" collapsed="false">
      <c r="B39" s="43" t="s">
        <v>110</v>
      </c>
      <c r="C39" s="43"/>
      <c r="D39" s="43"/>
      <c r="E39" s="43"/>
      <c r="F39" s="43"/>
      <c r="G39" s="43"/>
    </row>
    <row r="40" customFormat="false" ht="15" hidden="false" customHeight="true" outlineLevel="0" collapsed="false">
      <c r="B40" s="43" t="s">
        <v>111</v>
      </c>
      <c r="C40" s="43"/>
      <c r="D40" s="43"/>
      <c r="E40" s="43"/>
      <c r="F40" s="43"/>
      <c r="G40" s="43"/>
    </row>
  </sheetData>
  <mergeCells count="31">
    <mergeCell ref="B2:G2"/>
    <mergeCell ref="B4:D4"/>
    <mergeCell ref="B6:D6"/>
    <mergeCell ref="E7:G7"/>
    <mergeCell ref="C8:D8"/>
    <mergeCell ref="E8:G8"/>
    <mergeCell ref="C9:D9"/>
    <mergeCell ref="E9:G9"/>
    <mergeCell ref="C10:D10"/>
    <mergeCell ref="E10:G10"/>
    <mergeCell ref="C11:D11"/>
    <mergeCell ref="E11:G11"/>
    <mergeCell ref="B13:D13"/>
    <mergeCell ref="E13:G13"/>
    <mergeCell ref="C23:F23"/>
    <mergeCell ref="C24:F24"/>
    <mergeCell ref="C25:F25"/>
    <mergeCell ref="B27:G27"/>
    <mergeCell ref="B28:G28"/>
    <mergeCell ref="B29:G29"/>
    <mergeCell ref="B30:G30"/>
    <mergeCell ref="B31:G31"/>
    <mergeCell ref="B32:G32"/>
    <mergeCell ref="B33:G33"/>
    <mergeCell ref="B34:G34"/>
    <mergeCell ref="B35:G35"/>
    <mergeCell ref="B36:G36"/>
    <mergeCell ref="B37:G37"/>
    <mergeCell ref="B38:G38"/>
    <mergeCell ref="B39:G39"/>
    <mergeCell ref="B40:G40"/>
  </mergeCells>
  <printOptions headings="false" gridLines="false" gridLinesSet="true" horizontalCentered="false" verticalCentered="false"/>
  <pageMargins left="0.5" right="0.5"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5"/>
    <col collapsed="false" customWidth="true" hidden="false" outlineLevel="0" max="3" min="3" style="0" width="48"/>
    <col collapsed="false" customWidth="true" hidden="false" outlineLevel="0" max="4" min="4" style="0" width="8"/>
    <col collapsed="false" customWidth="true" hidden="false" outlineLevel="0" max="5" min="5" style="0" width="14"/>
    <col collapsed="false" customWidth="true" hidden="false" outlineLevel="0" max="6" min="6" style="0" width="46"/>
  </cols>
  <sheetData>
    <row r="1" customFormat="false" ht="25.5" hidden="false" customHeight="true" outlineLevel="0" collapsed="false">
      <c r="B1" s="48" t="s">
        <v>112</v>
      </c>
      <c r="C1" s="48"/>
      <c r="D1" s="48"/>
      <c r="E1" s="48"/>
      <c r="F1" s="48"/>
    </row>
    <row r="2" customFormat="false" ht="15" hidden="false" customHeight="true" outlineLevel="0" collapsed="false">
      <c r="B2" s="2" t="s">
        <v>113</v>
      </c>
      <c r="C2" s="2"/>
      <c r="D2" s="2"/>
      <c r="E2" s="2"/>
      <c r="F2" s="2"/>
    </row>
    <row r="3" customFormat="false" ht="21.75" hidden="false" customHeight="true" outlineLevel="0" collapsed="false">
      <c r="B3" s="27" t="s">
        <v>62</v>
      </c>
      <c r="C3" s="28" t="s">
        <v>114</v>
      </c>
      <c r="D3" s="28" t="s">
        <v>65</v>
      </c>
      <c r="E3" s="28" t="s">
        <v>115</v>
      </c>
      <c r="F3" s="28" t="s">
        <v>116</v>
      </c>
    </row>
    <row r="4" customFormat="false" ht="19.5" hidden="false" customHeight="true" outlineLevel="0" collapsed="false">
      <c r="B4" s="31" t="n">
        <v>1</v>
      </c>
      <c r="C4" s="12" t="s">
        <v>117</v>
      </c>
      <c r="D4" s="31" t="s">
        <v>69</v>
      </c>
      <c r="E4" s="49" t="n">
        <v>250000</v>
      </c>
      <c r="F4" s="50" t="s">
        <v>118</v>
      </c>
    </row>
    <row r="5" customFormat="false" ht="19.5" hidden="false" customHeight="true" outlineLevel="0" collapsed="false">
      <c r="B5" s="31" t="n">
        <v>2</v>
      </c>
      <c r="C5" s="12" t="s">
        <v>119</v>
      </c>
      <c r="D5" s="31" t="s">
        <v>71</v>
      </c>
      <c r="E5" s="49" t="n">
        <v>50000</v>
      </c>
      <c r="F5" s="50" t="s">
        <v>120</v>
      </c>
    </row>
    <row r="6" customFormat="false" ht="19.5" hidden="false" customHeight="true" outlineLevel="0" collapsed="false">
      <c r="B6" s="31" t="n">
        <v>3</v>
      </c>
      <c r="C6" s="12" t="s">
        <v>121</v>
      </c>
      <c r="D6" s="31" t="s">
        <v>71</v>
      </c>
      <c r="E6" s="49" t="n">
        <v>30000</v>
      </c>
      <c r="F6" s="50" t="s">
        <v>122</v>
      </c>
    </row>
    <row r="7" customFormat="false" ht="19.5" hidden="false" customHeight="true" outlineLevel="0" collapsed="false">
      <c r="B7" s="31" t="n">
        <v>4</v>
      </c>
      <c r="C7" s="12" t="s">
        <v>123</v>
      </c>
      <c r="D7" s="31" t="s">
        <v>124</v>
      </c>
      <c r="E7" s="49" t="n">
        <v>5000</v>
      </c>
      <c r="F7" s="51" t="s">
        <v>125</v>
      </c>
    </row>
    <row r="8" customFormat="false" ht="19.5" hidden="false" customHeight="true" outlineLevel="0" collapsed="false">
      <c r="B8" s="31" t="n">
        <v>5</v>
      </c>
      <c r="C8" s="12" t="s">
        <v>126</v>
      </c>
      <c r="D8" s="31" t="s">
        <v>78</v>
      </c>
      <c r="E8" s="49" t="n">
        <v>10000</v>
      </c>
      <c r="F8" s="50" t="s">
        <v>127</v>
      </c>
    </row>
    <row r="9" customFormat="false" ht="19.5" hidden="false" customHeight="true" outlineLevel="0" collapsed="false">
      <c r="B9" s="31" t="n">
        <v>6</v>
      </c>
      <c r="C9" s="12" t="s">
        <v>128</v>
      </c>
      <c r="D9" s="31" t="s">
        <v>74</v>
      </c>
      <c r="E9" s="49" t="n">
        <v>5000</v>
      </c>
      <c r="F9" s="51" t="s">
        <v>129</v>
      </c>
    </row>
    <row r="10" customFormat="false" ht="19.5" hidden="false" customHeight="true" outlineLevel="0" collapsed="false">
      <c r="B10" s="31" t="n">
        <v>7</v>
      </c>
      <c r="C10" s="12" t="s">
        <v>130</v>
      </c>
      <c r="D10" s="31" t="s">
        <v>69</v>
      </c>
      <c r="E10" s="52" t="s">
        <v>131</v>
      </c>
      <c r="F10" s="50" t="s">
        <v>132</v>
      </c>
    </row>
    <row r="12" customFormat="false" ht="15" hidden="false" customHeight="true" outlineLevel="0" collapsed="false">
      <c r="B12" s="10" t="s">
        <v>133</v>
      </c>
      <c r="C12" s="10"/>
      <c r="D12" s="10"/>
      <c r="E12" s="10"/>
      <c r="F12" s="10"/>
    </row>
    <row r="13" customFormat="false" ht="15" hidden="false" customHeight="true" outlineLevel="0" collapsed="false">
      <c r="B13" s="53" t="s">
        <v>134</v>
      </c>
      <c r="C13" s="53"/>
      <c r="D13" s="53"/>
      <c r="E13" s="53"/>
      <c r="F13" s="53"/>
    </row>
    <row r="14" customFormat="false" ht="15" hidden="false" customHeight="true" outlineLevel="0" collapsed="false">
      <c r="B14" s="53" t="s">
        <v>135</v>
      </c>
      <c r="C14" s="53"/>
      <c r="D14" s="53"/>
      <c r="E14" s="53"/>
      <c r="F14" s="53"/>
    </row>
    <row r="15" customFormat="false" ht="15" hidden="false" customHeight="true" outlineLevel="0" collapsed="false">
      <c r="B15" s="53" t="s">
        <v>136</v>
      </c>
      <c r="C15" s="53"/>
      <c r="D15" s="53"/>
      <c r="E15" s="53"/>
      <c r="F15" s="53"/>
    </row>
    <row r="16" customFormat="false" ht="15" hidden="false" customHeight="true" outlineLevel="0" collapsed="false">
      <c r="B16" s="53" t="s">
        <v>137</v>
      </c>
      <c r="C16" s="53"/>
      <c r="D16" s="53"/>
      <c r="E16" s="53"/>
      <c r="F16" s="53"/>
    </row>
    <row r="17" customFormat="false" ht="15" hidden="false" customHeight="true" outlineLevel="0" collapsed="false">
      <c r="B17" s="53" t="s">
        <v>138</v>
      </c>
      <c r="C17" s="53"/>
      <c r="D17" s="53"/>
      <c r="E17" s="53"/>
      <c r="F17" s="53"/>
    </row>
  </sheetData>
  <mergeCells count="8">
    <mergeCell ref="B1:F1"/>
    <mergeCell ref="B2:F2"/>
    <mergeCell ref="B12:F12"/>
    <mergeCell ref="B13:F13"/>
    <mergeCell ref="B14:F14"/>
    <mergeCell ref="B15:F15"/>
    <mergeCell ref="B16:F16"/>
    <mergeCell ref="B17:F1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2026-08-23T16:52:48Z</dcterms:created>
  <dc:creator>openpyxl</dc:creator>
  <dc:description/>
  <dc:language>en-US</dc:language>
  <cp:lastModifiedBy/>
  <dcterms:modified xsi:type="dcterms:W3CDTF">2026-08-23T16:52:48Z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